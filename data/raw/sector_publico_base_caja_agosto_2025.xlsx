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H\Downloads\"/>
    </mc:Choice>
  </mc:AlternateContent>
  <xr:revisionPtr revIDLastSave="0" documentId="13_ncr:1_{3537C40D-5107-417B-8EE6-5719A61FDBFB}" xr6:coauthVersionLast="47" xr6:coauthVersionMax="47" xr10:uidLastSave="{00000000-0000-0000-0000-000000000000}"/>
  <bookViews>
    <workbookView xWindow="-108" yWindow="-108" windowWidth="23256" windowHeight="12576" firstSheet="1" activeTab="1" xr2:uid="{00000000-000D-0000-FFFF-FFFF00000000}"/>
  </bookViews>
  <sheets>
    <sheet name="VarMensual" sheetId="15" state="hidden" r:id="rId1"/>
    <sheet name="IMIG" sheetId="22" r:id="rId2"/>
    <sheet name="AIF " sheetId="23" r:id="rId3"/>
    <sheet name="SALIDA PRENSA ENERO" sheetId="16" state="hidden" r:id="rId4"/>
  </sheets>
  <externalReferences>
    <externalReference r:id="rId5"/>
  </externalReferences>
  <definedNames>
    <definedName name="_xlnm.Print_Area" localSheetId="2">'AIF '!$A$1:$J$82</definedName>
    <definedName name="_xlnm.Print_Area" localSheetId="1">IMIG!$A$1:$J$76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3" i="23" l="1"/>
  <c r="I83" i="23"/>
  <c r="H83" i="23"/>
  <c r="G83" i="23"/>
  <c r="F83" i="23"/>
  <c r="E83" i="23"/>
  <c r="D83" i="23"/>
  <c r="C83" i="23"/>
  <c r="S75" i="23"/>
  <c r="R75" i="23"/>
  <c r="Q75" i="23"/>
  <c r="P75" i="23"/>
  <c r="O75" i="23"/>
  <c r="N75" i="23"/>
  <c r="M75" i="23"/>
  <c r="L75" i="23"/>
  <c r="S74" i="23"/>
  <c r="R74" i="23"/>
  <c r="Q74" i="23"/>
  <c r="P74" i="23"/>
  <c r="O74" i="23"/>
  <c r="N74" i="23"/>
  <c r="M74" i="23"/>
  <c r="L74" i="23"/>
  <c r="S73" i="23"/>
  <c r="R73" i="23"/>
  <c r="Q73" i="23"/>
  <c r="P73" i="23"/>
  <c r="O73" i="23"/>
  <c r="N73" i="23"/>
  <c r="M73" i="23"/>
  <c r="L73" i="23"/>
  <c r="S72" i="23"/>
  <c r="R72" i="23"/>
  <c r="Q72" i="23"/>
  <c r="P72" i="23"/>
  <c r="O72" i="23"/>
  <c r="N72" i="23"/>
  <c r="M72" i="23"/>
  <c r="L72" i="23"/>
  <c r="S71" i="23"/>
  <c r="R71" i="23"/>
  <c r="Q71" i="23"/>
  <c r="P71" i="23"/>
  <c r="O71" i="23"/>
  <c r="N71" i="23"/>
  <c r="M71" i="23"/>
  <c r="L71" i="23"/>
  <c r="S70" i="23"/>
  <c r="R70" i="23"/>
  <c r="Q70" i="23"/>
  <c r="P70" i="23"/>
  <c r="O70" i="23"/>
  <c r="N70" i="23"/>
  <c r="M70" i="23"/>
  <c r="L70" i="23"/>
  <c r="S69" i="23"/>
  <c r="R69" i="23"/>
  <c r="Q69" i="23"/>
  <c r="P69" i="23"/>
  <c r="O69" i="23"/>
  <c r="N69" i="23"/>
  <c r="M69" i="23"/>
  <c r="L69" i="23"/>
  <c r="S68" i="23"/>
  <c r="R68" i="23"/>
  <c r="Q68" i="23"/>
  <c r="P68" i="23"/>
  <c r="O68" i="23"/>
  <c r="N68" i="23"/>
  <c r="M68" i="23"/>
  <c r="L68" i="23"/>
  <c r="S67" i="23"/>
  <c r="R67" i="23"/>
  <c r="Q67" i="23"/>
  <c r="P67" i="23"/>
  <c r="O67" i="23"/>
  <c r="N67" i="23"/>
  <c r="M67" i="23"/>
  <c r="L67" i="23"/>
  <c r="S66" i="23"/>
  <c r="R66" i="23"/>
  <c r="Q66" i="23"/>
  <c r="P66" i="23"/>
  <c r="O66" i="23"/>
  <c r="N66" i="23"/>
  <c r="M66" i="23"/>
  <c r="L66" i="23"/>
  <c r="S65" i="23"/>
  <c r="R65" i="23"/>
  <c r="Q65" i="23"/>
  <c r="P65" i="23"/>
  <c r="O65" i="23"/>
  <c r="N65" i="23"/>
  <c r="M65" i="23"/>
  <c r="L65" i="23"/>
  <c r="S64" i="23"/>
  <c r="R64" i="23"/>
  <c r="Q64" i="23"/>
  <c r="P64" i="23"/>
  <c r="O64" i="23"/>
  <c r="N64" i="23"/>
  <c r="M64" i="23"/>
  <c r="L64" i="23"/>
  <c r="S63" i="23"/>
  <c r="R63" i="23"/>
  <c r="Q63" i="23"/>
  <c r="P63" i="23"/>
  <c r="O63" i="23"/>
  <c r="N63" i="23"/>
  <c r="M63" i="23"/>
  <c r="L63" i="23"/>
  <c r="S62" i="23"/>
  <c r="R62" i="23"/>
  <c r="Q62" i="23"/>
  <c r="P62" i="23"/>
  <c r="O62" i="23"/>
  <c r="N62" i="23"/>
  <c r="M62" i="23"/>
  <c r="L62" i="23"/>
  <c r="S61" i="23"/>
  <c r="R61" i="23"/>
  <c r="Q61" i="23"/>
  <c r="P61" i="23"/>
  <c r="O61" i="23"/>
  <c r="N61" i="23"/>
  <c r="M61" i="23"/>
  <c r="L61" i="23"/>
  <c r="S60" i="23"/>
  <c r="R60" i="23"/>
  <c r="Q60" i="23"/>
  <c r="P60" i="23"/>
  <c r="O60" i="23"/>
  <c r="N60" i="23"/>
  <c r="M60" i="23"/>
  <c r="L60" i="23"/>
  <c r="S59" i="23"/>
  <c r="R59" i="23"/>
  <c r="Q59" i="23"/>
  <c r="P59" i="23"/>
  <c r="O59" i="23"/>
  <c r="N59" i="23"/>
  <c r="M59" i="23"/>
  <c r="L59" i="23"/>
  <c r="S58" i="23"/>
  <c r="R58" i="23"/>
  <c r="Q58" i="23"/>
  <c r="P58" i="23"/>
  <c r="O58" i="23"/>
  <c r="N58" i="23"/>
  <c r="M58" i="23"/>
  <c r="L58" i="23"/>
  <c r="S57" i="23"/>
  <c r="R57" i="23"/>
  <c r="Q57" i="23"/>
  <c r="P57" i="23"/>
  <c r="O57" i="23"/>
  <c r="N57" i="23"/>
  <c r="M57" i="23"/>
  <c r="L57" i="23"/>
  <c r="S56" i="23"/>
  <c r="R56" i="23"/>
  <c r="Q56" i="23"/>
  <c r="P56" i="23"/>
  <c r="O56" i="23"/>
  <c r="N56" i="23"/>
  <c r="M56" i="23"/>
  <c r="L56" i="23"/>
  <c r="S55" i="23"/>
  <c r="R55" i="23"/>
  <c r="Q55" i="23"/>
  <c r="P55" i="23"/>
  <c r="O55" i="23"/>
  <c r="N55" i="23"/>
  <c r="M55" i="23"/>
  <c r="L55" i="23"/>
  <c r="S54" i="23"/>
  <c r="R54" i="23"/>
  <c r="Q54" i="23"/>
  <c r="P54" i="23"/>
  <c r="O54" i="23"/>
  <c r="N54" i="23"/>
  <c r="M54" i="23"/>
  <c r="L54" i="23"/>
  <c r="S53" i="23"/>
  <c r="R53" i="23"/>
  <c r="Q53" i="23"/>
  <c r="P53" i="23"/>
  <c r="O53" i="23"/>
  <c r="N53" i="23"/>
  <c r="M53" i="23"/>
  <c r="L53" i="23"/>
  <c r="S52" i="23"/>
  <c r="R52" i="23"/>
  <c r="Q52" i="23"/>
  <c r="P52" i="23"/>
  <c r="O52" i="23"/>
  <c r="N52" i="23"/>
  <c r="M52" i="23"/>
  <c r="L52" i="23"/>
  <c r="S51" i="23"/>
  <c r="R51" i="23"/>
  <c r="Q51" i="23"/>
  <c r="P51" i="23"/>
  <c r="O51" i="23"/>
  <c r="N51" i="23"/>
  <c r="M51" i="23"/>
  <c r="L51" i="23"/>
  <c r="S50" i="23"/>
  <c r="R50" i="23"/>
  <c r="Q50" i="23"/>
  <c r="P50" i="23"/>
  <c r="O50" i="23"/>
  <c r="N50" i="23"/>
  <c r="M50" i="23"/>
  <c r="L50" i="23"/>
  <c r="S49" i="23"/>
  <c r="R49" i="23"/>
  <c r="Q49" i="23"/>
  <c r="P49" i="23"/>
  <c r="O49" i="23"/>
  <c r="N49" i="23"/>
  <c r="M49" i="23"/>
  <c r="L49" i="23"/>
  <c r="S48" i="23"/>
  <c r="R48" i="23"/>
  <c r="Q48" i="23"/>
  <c r="P48" i="23"/>
  <c r="O48" i="23"/>
  <c r="N48" i="23"/>
  <c r="M48" i="23"/>
  <c r="L48" i="23"/>
  <c r="S47" i="23"/>
  <c r="R47" i="23"/>
  <c r="Q47" i="23"/>
  <c r="P47" i="23"/>
  <c r="O47" i="23"/>
  <c r="N47" i="23"/>
  <c r="M47" i="23"/>
  <c r="L47" i="23"/>
  <c r="S46" i="23"/>
  <c r="R46" i="23"/>
  <c r="Q46" i="23"/>
  <c r="P46" i="23"/>
  <c r="O46" i="23"/>
  <c r="N46" i="23"/>
  <c r="M46" i="23"/>
  <c r="L46" i="23"/>
  <c r="S45" i="23"/>
  <c r="R45" i="23"/>
  <c r="Q45" i="23"/>
  <c r="P45" i="23"/>
  <c r="O45" i="23"/>
  <c r="N45" i="23"/>
  <c r="M45" i="23"/>
  <c r="L45" i="23"/>
  <c r="S44" i="23"/>
  <c r="R44" i="23"/>
  <c r="Q44" i="23"/>
  <c r="P44" i="23"/>
  <c r="O44" i="23"/>
  <c r="N44" i="23"/>
  <c r="M44" i="23"/>
  <c r="L44" i="23"/>
  <c r="S43" i="23"/>
  <c r="R43" i="23"/>
  <c r="Q43" i="23"/>
  <c r="P43" i="23"/>
  <c r="O43" i="23"/>
  <c r="N43" i="23"/>
  <c r="M43" i="23"/>
  <c r="L43" i="23"/>
  <c r="S42" i="23"/>
  <c r="R42" i="23"/>
  <c r="Q42" i="23"/>
  <c r="P42" i="23"/>
  <c r="O42" i="23"/>
  <c r="N42" i="23"/>
  <c r="M42" i="23"/>
  <c r="L42" i="23"/>
  <c r="S41" i="23"/>
  <c r="R41" i="23"/>
  <c r="Q41" i="23"/>
  <c r="P41" i="23"/>
  <c r="O41" i="23"/>
  <c r="N41" i="23"/>
  <c r="M41" i="23"/>
  <c r="L41" i="23"/>
  <c r="S39" i="23"/>
  <c r="R39" i="23"/>
  <c r="Q39" i="23"/>
  <c r="P39" i="23"/>
  <c r="O39" i="23"/>
  <c r="N39" i="23"/>
  <c r="M39" i="23"/>
  <c r="L39" i="23"/>
  <c r="S38" i="23"/>
  <c r="R38" i="23"/>
  <c r="Q38" i="23"/>
  <c r="P38" i="23"/>
  <c r="O38" i="23"/>
  <c r="N38" i="23"/>
  <c r="M38" i="23"/>
  <c r="L38" i="23"/>
  <c r="S37" i="23"/>
  <c r="R37" i="23"/>
  <c r="Q37" i="23"/>
  <c r="P37" i="23"/>
  <c r="O37" i="23"/>
  <c r="N37" i="23"/>
  <c r="M37" i="23"/>
  <c r="L37" i="23"/>
  <c r="S36" i="23"/>
  <c r="R36" i="23"/>
  <c r="Q36" i="23"/>
  <c r="P36" i="23"/>
  <c r="O36" i="23"/>
  <c r="N36" i="23"/>
  <c r="M36" i="23"/>
  <c r="L36" i="23"/>
  <c r="S35" i="23"/>
  <c r="R35" i="23"/>
  <c r="Q35" i="23"/>
  <c r="P35" i="23"/>
  <c r="O35" i="23"/>
  <c r="N35" i="23"/>
  <c r="M35" i="23"/>
  <c r="L35" i="23"/>
  <c r="S34" i="23"/>
  <c r="R34" i="23"/>
  <c r="Q34" i="23"/>
  <c r="P34" i="23"/>
  <c r="O34" i="23"/>
  <c r="N34" i="23"/>
  <c r="M34" i="23"/>
  <c r="L34" i="23"/>
  <c r="S33" i="23"/>
  <c r="R33" i="23"/>
  <c r="Q33" i="23"/>
  <c r="P33" i="23"/>
  <c r="O33" i="23"/>
  <c r="N33" i="23"/>
  <c r="M33" i="23"/>
  <c r="L33" i="23"/>
  <c r="S32" i="23"/>
  <c r="R32" i="23"/>
  <c r="Q32" i="23"/>
  <c r="P32" i="23"/>
  <c r="O32" i="23"/>
  <c r="N32" i="23"/>
  <c r="M32" i="23"/>
  <c r="L32" i="23"/>
  <c r="S31" i="23"/>
  <c r="R31" i="23"/>
  <c r="Q31" i="23"/>
  <c r="P31" i="23"/>
  <c r="O31" i="23"/>
  <c r="N31" i="23"/>
  <c r="M31" i="23"/>
  <c r="L31" i="23"/>
  <c r="S30" i="23"/>
  <c r="R30" i="23"/>
  <c r="Q30" i="23"/>
  <c r="P30" i="23"/>
  <c r="O30" i="23"/>
  <c r="N30" i="23"/>
  <c r="M30" i="23"/>
  <c r="L30" i="23"/>
  <c r="S29" i="23"/>
  <c r="R29" i="23"/>
  <c r="Q29" i="23"/>
  <c r="P29" i="23"/>
  <c r="O29" i="23"/>
  <c r="N29" i="23"/>
  <c r="M29" i="23"/>
  <c r="L29" i="23"/>
  <c r="S28" i="23"/>
  <c r="R28" i="23"/>
  <c r="Q28" i="23"/>
  <c r="P28" i="23"/>
  <c r="O28" i="23"/>
  <c r="N28" i="23"/>
  <c r="M28" i="23"/>
  <c r="L28" i="23"/>
  <c r="S27" i="23"/>
  <c r="R27" i="23"/>
  <c r="Q27" i="23"/>
  <c r="P27" i="23"/>
  <c r="O27" i="23"/>
  <c r="N27" i="23"/>
  <c r="M27" i="23"/>
  <c r="L27" i="23"/>
  <c r="S26" i="23"/>
  <c r="R26" i="23"/>
  <c r="Q26" i="23"/>
  <c r="P26" i="23"/>
  <c r="O26" i="23"/>
  <c r="N26" i="23"/>
  <c r="M26" i="23"/>
  <c r="L26" i="23"/>
  <c r="S25" i="23"/>
  <c r="R25" i="23"/>
  <c r="Q25" i="23"/>
  <c r="P25" i="23"/>
  <c r="O25" i="23"/>
  <c r="N25" i="23"/>
  <c r="M25" i="23"/>
  <c r="L25" i="23"/>
  <c r="S24" i="23"/>
  <c r="R24" i="23"/>
  <c r="Q24" i="23"/>
  <c r="P24" i="23"/>
  <c r="O24" i="23"/>
  <c r="N24" i="23"/>
  <c r="M24" i="23"/>
  <c r="L24" i="23"/>
  <c r="S23" i="23"/>
  <c r="R23" i="23"/>
  <c r="Q23" i="23"/>
  <c r="P23" i="23"/>
  <c r="O23" i="23"/>
  <c r="N23" i="23"/>
  <c r="M23" i="23"/>
  <c r="L23" i="23"/>
  <c r="S22" i="23"/>
  <c r="R22" i="23"/>
  <c r="Q22" i="23"/>
  <c r="P22" i="23"/>
  <c r="O22" i="23"/>
  <c r="N22" i="23"/>
  <c r="M22" i="23"/>
  <c r="L22" i="23"/>
  <c r="S21" i="23"/>
  <c r="R21" i="23"/>
  <c r="Q21" i="23"/>
  <c r="P21" i="23"/>
  <c r="O21" i="23"/>
  <c r="N21" i="23"/>
  <c r="M21" i="23"/>
  <c r="L21" i="23"/>
  <c r="S19" i="23"/>
  <c r="R19" i="23"/>
  <c r="Q19" i="23"/>
  <c r="P19" i="23"/>
  <c r="O19" i="23"/>
  <c r="N19" i="23"/>
  <c r="M19" i="23"/>
  <c r="L19" i="23"/>
  <c r="S18" i="23"/>
  <c r="R18" i="23"/>
  <c r="Q18" i="23"/>
  <c r="P18" i="23"/>
  <c r="O18" i="23"/>
  <c r="N18" i="23"/>
  <c r="M18" i="23"/>
  <c r="L18" i="23"/>
  <c r="S17" i="23"/>
  <c r="R17" i="23"/>
  <c r="Q17" i="23"/>
  <c r="P17" i="23"/>
  <c r="O17" i="23"/>
  <c r="N17" i="23"/>
  <c r="M17" i="23"/>
  <c r="L17" i="23"/>
  <c r="S16" i="23"/>
  <c r="R16" i="23"/>
  <c r="Q16" i="23"/>
  <c r="P16" i="23"/>
  <c r="O16" i="23"/>
  <c r="N16" i="23"/>
  <c r="M16" i="23"/>
  <c r="L16" i="23"/>
  <c r="S15" i="23"/>
  <c r="R15" i="23"/>
  <c r="Q15" i="23"/>
  <c r="P15" i="23"/>
  <c r="O15" i="23"/>
  <c r="N15" i="23"/>
  <c r="M15" i="23"/>
  <c r="L15" i="23"/>
  <c r="S14" i="23"/>
  <c r="R14" i="23"/>
  <c r="Q14" i="23"/>
  <c r="P14" i="23"/>
  <c r="O14" i="23"/>
  <c r="N14" i="23"/>
  <c r="M14" i="23"/>
  <c r="L14" i="23"/>
  <c r="S13" i="23"/>
  <c r="R13" i="23"/>
  <c r="Q13" i="23"/>
  <c r="P13" i="23"/>
  <c r="O13" i="23"/>
  <c r="N13" i="23"/>
  <c r="M13" i="23"/>
  <c r="L13" i="23"/>
  <c r="S12" i="23"/>
  <c r="R12" i="23"/>
  <c r="Q12" i="23"/>
  <c r="P12" i="23"/>
  <c r="O12" i="23"/>
  <c r="N12" i="23"/>
  <c r="M12" i="23"/>
  <c r="L12" i="23"/>
  <c r="S11" i="23"/>
  <c r="R11" i="23"/>
  <c r="Q11" i="23"/>
  <c r="P11" i="23"/>
  <c r="O11" i="23"/>
  <c r="N11" i="23"/>
  <c r="M11" i="23"/>
  <c r="L11" i="23"/>
  <c r="S10" i="23"/>
  <c r="R10" i="23"/>
  <c r="Q10" i="23"/>
  <c r="P10" i="23"/>
  <c r="O10" i="23"/>
  <c r="N10" i="23"/>
  <c r="M10" i="23"/>
  <c r="L10" i="23"/>
  <c r="G55" i="15" l="1"/>
  <c r="L24" i="15"/>
  <c r="L45" i="15"/>
  <c r="H4" i="16"/>
  <c r="G93" i="16"/>
  <c r="G72" i="15"/>
  <c r="G37" i="16"/>
  <c r="G30" i="16"/>
  <c r="J30" i="16" s="1"/>
  <c r="G124" i="15"/>
  <c r="G123" i="15"/>
  <c r="L123" i="15"/>
  <c r="L124" i="15"/>
  <c r="G64" i="16"/>
  <c r="G20" i="16"/>
  <c r="H5" i="15"/>
  <c r="G78" i="15"/>
  <c r="G21" i="15"/>
  <c r="I21" i="15" s="1"/>
  <c r="G21" i="16"/>
  <c r="J21" i="16" s="1"/>
  <c r="G23" i="15"/>
  <c r="J23" i="15" s="1"/>
  <c r="G29" i="16"/>
  <c r="J29" i="16" s="1"/>
  <c r="G31" i="15"/>
  <c r="I31" i="15" s="1"/>
  <c r="G43" i="16"/>
  <c r="J43" i="16" s="1"/>
  <c r="G45" i="15"/>
  <c r="J45" i="15" s="1"/>
  <c r="G22" i="16"/>
  <c r="J22" i="16" s="1"/>
  <c r="G24" i="15"/>
  <c r="I23" i="15"/>
  <c r="I24" i="15"/>
  <c r="J24" i="15"/>
  <c r="I45" i="15" l="1"/>
  <c r="J31" i="15"/>
  <c r="J55" i="15"/>
  <c r="I55" i="15"/>
  <c r="J20" i="16"/>
  <c r="I20" i="16"/>
  <c r="J78" i="15"/>
  <c r="I78" i="15"/>
  <c r="G32" i="15"/>
  <c r="G53" i="16"/>
  <c r="L31" i="15"/>
  <c r="O31" i="15" s="1"/>
  <c r="L55" i="15"/>
  <c r="N55" i="15" s="1"/>
  <c r="L32" i="15"/>
  <c r="N32" i="15" s="1"/>
  <c r="G73" i="16"/>
  <c r="I73" i="16" s="1"/>
  <c r="L23" i="15"/>
  <c r="J93" i="16"/>
  <c r="I93" i="16"/>
  <c r="L99" i="15"/>
  <c r="O99" i="15" s="1"/>
  <c r="G98" i="15"/>
  <c r="L90" i="15"/>
  <c r="N90" i="15" s="1"/>
  <c r="O45" i="15"/>
  <c r="N45" i="15"/>
  <c r="O23" i="15"/>
  <c r="N23" i="15"/>
  <c r="O24" i="15"/>
  <c r="N24" i="15"/>
  <c r="L22" i="15"/>
  <c r="G22" i="15"/>
  <c r="G33" i="15"/>
  <c r="I72" i="15"/>
  <c r="J72" i="15"/>
  <c r="L72" i="15"/>
  <c r="G73" i="15"/>
  <c r="G12" i="15"/>
  <c r="J64" i="16"/>
  <c r="I64" i="16"/>
  <c r="G67" i="15"/>
  <c r="L50" i="15"/>
  <c r="G48" i="16"/>
  <c r="G50" i="15"/>
  <c r="L48" i="15"/>
  <c r="G48" i="15"/>
  <c r="G46" i="16"/>
  <c r="I37" i="16"/>
  <c r="J37" i="16"/>
  <c r="L39" i="15"/>
  <c r="G39" i="15"/>
  <c r="J21" i="15"/>
  <c r="G19" i="16"/>
  <c r="G57" i="15"/>
  <c r="L57" i="15"/>
  <c r="G46" i="15"/>
  <c r="G44" i="16"/>
  <c r="L46" i="15"/>
  <c r="L47" i="15"/>
  <c r="G45" i="16"/>
  <c r="G47" i="15"/>
  <c r="G99" i="15"/>
  <c r="G94" i="16"/>
  <c r="G85" i="16"/>
  <c r="G90" i="15"/>
  <c r="G84" i="16"/>
  <c r="J84" i="16" s="1"/>
  <c r="G78" i="16"/>
  <c r="J73" i="16"/>
  <c r="G66" i="15"/>
  <c r="L56" i="15"/>
  <c r="G54" i="16"/>
  <c r="G56" i="15"/>
  <c r="L54" i="15"/>
  <c r="G54" i="15"/>
  <c r="G52" i="16"/>
  <c r="G51" i="16"/>
  <c r="L53" i="15"/>
  <c r="G53" i="15"/>
  <c r="L52" i="15"/>
  <c r="G52" i="15"/>
  <c r="G50" i="16"/>
  <c r="G49" i="16"/>
  <c r="L51" i="15"/>
  <c r="G51" i="15"/>
  <c r="G47" i="16"/>
  <c r="L49" i="15"/>
  <c r="G49" i="15"/>
  <c r="G31" i="16"/>
  <c r="G14" i="15"/>
  <c r="G12" i="16"/>
  <c r="O32" i="15" l="1"/>
  <c r="N31" i="15"/>
  <c r="O90" i="15"/>
  <c r="O55" i="15"/>
  <c r="G97" i="15"/>
  <c r="J97" i="15" s="1"/>
  <c r="I53" i="16"/>
  <c r="J53" i="16"/>
  <c r="G64" i="15"/>
  <c r="J64" i="15" s="1"/>
  <c r="I32" i="15"/>
  <c r="J32" i="15"/>
  <c r="N99" i="15"/>
  <c r="J98" i="15"/>
  <c r="I98" i="15"/>
  <c r="I22" i="15"/>
  <c r="J22" i="15"/>
  <c r="L21" i="15"/>
  <c r="N22" i="15"/>
  <c r="O22" i="15"/>
  <c r="L19" i="15"/>
  <c r="G83" i="15"/>
  <c r="J83" i="15" s="1"/>
  <c r="G19" i="15"/>
  <c r="I19" i="15" s="1"/>
  <c r="G92" i="16"/>
  <c r="G85" i="15"/>
  <c r="G58" i="16"/>
  <c r="J58" i="16" s="1"/>
  <c r="G61" i="15"/>
  <c r="J61" i="15" s="1"/>
  <c r="L33" i="15"/>
  <c r="O33" i="15" s="1"/>
  <c r="L73"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G28" i="15"/>
  <c r="G26" i="16"/>
  <c r="G29" i="15"/>
  <c r="G27" i="16"/>
  <c r="J19" i="15"/>
  <c r="J17" i="16"/>
  <c r="G10" i="16"/>
  <c r="G11" i="15"/>
  <c r="G93" i="15"/>
  <c r="G88" i="16"/>
  <c r="J88" i="16" s="1"/>
  <c r="G63" i="16"/>
  <c r="G61" i="16"/>
  <c r="G70" i="15"/>
  <c r="G67" i="16"/>
  <c r="G63" i="15"/>
  <c r="G60" i="16"/>
  <c r="I97" i="15"/>
  <c r="I94" i="16"/>
  <c r="J94" i="16"/>
  <c r="I99" i="15"/>
  <c r="J99" i="15"/>
  <c r="G87" i="16"/>
  <c r="G92" i="15"/>
  <c r="G86" i="16"/>
  <c r="G91" i="15"/>
  <c r="J85" i="16"/>
  <c r="I85" i="16"/>
  <c r="J90" i="15"/>
  <c r="I90" i="15"/>
  <c r="L89" i="15"/>
  <c r="I84" i="16"/>
  <c r="G89" i="15"/>
  <c r="I89" i="15" s="1"/>
  <c r="G83" i="16"/>
  <c r="G88" i="15"/>
  <c r="G82" i="16"/>
  <c r="G87" i="15"/>
  <c r="G80" i="16"/>
  <c r="L84" i="15"/>
  <c r="J78" i="16"/>
  <c r="I78" i="16"/>
  <c r="G77" i="16"/>
  <c r="G82" i="15"/>
  <c r="L83" i="15"/>
  <c r="G76" i="16"/>
  <c r="G81" i="15"/>
  <c r="G74" i="16"/>
  <c r="G79" i="15"/>
  <c r="G72" i="16"/>
  <c r="G77" i="15"/>
  <c r="I73" i="15"/>
  <c r="J73" i="15"/>
  <c r="G66" i="16"/>
  <c r="G69" i="15"/>
  <c r="G65" i="16"/>
  <c r="G68" i="15"/>
  <c r="I66" i="15"/>
  <c r="J66" i="15"/>
  <c r="L66" i="15"/>
  <c r="G62" i="16"/>
  <c r="G65" i="15"/>
  <c r="I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N33" i="15"/>
  <c r="J31" i="16"/>
  <c r="I31" i="16"/>
  <c r="G26" i="15"/>
  <c r="G24" i="16"/>
  <c r="G25" i="16"/>
  <c r="G27" i="15"/>
  <c r="G18" i="16"/>
  <c r="G20" i="15"/>
  <c r="G25" i="15"/>
  <c r="G18" i="15"/>
  <c r="G16" i="16"/>
  <c r="G17" i="15"/>
  <c r="G15" i="16"/>
  <c r="G14" i="16"/>
  <c r="G16" i="15"/>
  <c r="G15" i="15"/>
  <c r="G13" i="16"/>
  <c r="I12" i="16"/>
  <c r="J12" i="16"/>
  <c r="J14" i="15"/>
  <c r="I14" i="15"/>
  <c r="L14" i="15"/>
  <c r="G10" i="15"/>
  <c r="G9" i="16"/>
  <c r="I83" i="15" l="1"/>
  <c r="I84" i="15"/>
  <c r="I64" i="15"/>
  <c r="G76" i="15"/>
  <c r="G86" i="15"/>
  <c r="I86" i="15" s="1"/>
  <c r="G71" i="16"/>
  <c r="I71" i="16" s="1"/>
  <c r="J79" i="16"/>
  <c r="G81" i="16"/>
  <c r="G71" i="15"/>
  <c r="I58" i="16"/>
  <c r="L38" i="15"/>
  <c r="N38" i="15" s="1"/>
  <c r="L61" i="15"/>
  <c r="N61" i="15" s="1"/>
  <c r="O21" i="15"/>
  <c r="N21" i="15"/>
  <c r="O12" i="15"/>
  <c r="L78" i="15"/>
  <c r="G23" i="16"/>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I27" i="16"/>
  <c r="J27" i="16"/>
  <c r="I29" i="15"/>
  <c r="J29" i="15"/>
  <c r="O19" i="15"/>
  <c r="N19" i="15"/>
  <c r="L11" i="15"/>
  <c r="I11" i="15"/>
  <c r="J11" i="15"/>
  <c r="J10" i="16"/>
  <c r="I10" i="16"/>
  <c r="J93" i="15"/>
  <c r="I93" i="15"/>
  <c r="L93" i="15"/>
  <c r="G33" i="16"/>
  <c r="I33" i="16" s="1"/>
  <c r="I63" i="16"/>
  <c r="J63" i="16"/>
  <c r="J61" i="16"/>
  <c r="I61" i="16"/>
  <c r="O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L86" i="15"/>
  <c r="J85" i="15"/>
  <c r="I85" i="15"/>
  <c r="J81" i="16"/>
  <c r="I81" i="16"/>
  <c r="I80" i="16"/>
  <c r="J80" i="16"/>
  <c r="L85" i="15"/>
  <c r="O84" i="15"/>
  <c r="N84" i="15"/>
  <c r="I77" i="16"/>
  <c r="J77" i="16"/>
  <c r="N83" i="15"/>
  <c r="O83" i="15"/>
  <c r="I82" i="15"/>
  <c r="J82" i="15"/>
  <c r="L82" i="15"/>
  <c r="I76" i="16"/>
  <c r="J76" i="16"/>
  <c r="L81" i="15"/>
  <c r="J81" i="15"/>
  <c r="I81" i="15"/>
  <c r="J79" i="15"/>
  <c r="I79" i="15"/>
  <c r="L79" i="15"/>
  <c r="J74" i="16"/>
  <c r="I74"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I23" i="16"/>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c r="J71" i="16" l="1"/>
  <c r="O61" i="15"/>
  <c r="I62" i="15"/>
  <c r="O78" i="15"/>
  <c r="N78" i="15"/>
  <c r="J68" i="16"/>
  <c r="O71" i="15"/>
  <c r="G55" i="16"/>
  <c r="I55" i="16" s="1"/>
  <c r="O98" i="15"/>
  <c r="N98" i="15"/>
  <c r="N97" i="15"/>
  <c r="O97" i="15"/>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35" i="15" l="1"/>
  <c r="O35" i="15" s="1"/>
  <c r="L103" i="15"/>
  <c r="N103" i="15" s="1"/>
  <c r="L36" i="15"/>
  <c r="N36" i="15" s="1"/>
  <c r="L7" i="15"/>
  <c r="O7" i="15" s="1"/>
  <c r="J55" i="16"/>
  <c r="L58" i="15"/>
  <c r="O58" i="15" s="1"/>
  <c r="I75" i="15"/>
  <c r="G34" i="16"/>
  <c r="J34" i="16" s="1"/>
  <c r="G36" i="15"/>
  <c r="I36" i="15" s="1"/>
  <c r="G98" i="16"/>
  <c r="J98" i="16" s="1"/>
  <c r="I103" i="15"/>
  <c r="G70" i="16"/>
  <c r="N30" i="15"/>
  <c r="O30" i="15"/>
  <c r="I7" i="15"/>
  <c r="N8" i="15"/>
  <c r="N62" i="15"/>
  <c r="J6" i="16"/>
  <c r="J35" i="15"/>
  <c r="L80" i="15"/>
  <c r="J75" i="16"/>
  <c r="I75" i="16"/>
  <c r="J80" i="15"/>
  <c r="I80" i="15"/>
  <c r="N59" i="15"/>
  <c r="O59" i="15"/>
  <c r="N7" i="15" l="1"/>
  <c r="N35" i="15"/>
  <c r="L75" i="15"/>
  <c r="N75" i="15" s="1"/>
  <c r="O36" i="15"/>
  <c r="N58" i="15"/>
  <c r="I98" i="16"/>
  <c r="J36" i="15"/>
  <c r="I34" i="16"/>
  <c r="G95" i="15"/>
  <c r="J95" i="15" s="1"/>
  <c r="O103" i="15"/>
  <c r="O75" i="15"/>
  <c r="J70" i="16"/>
  <c r="I70" i="16"/>
  <c r="G105" i="15"/>
  <c r="I105" i="15" s="1"/>
  <c r="G100" i="16"/>
  <c r="J100" i="16" s="1"/>
  <c r="N80" i="15"/>
  <c r="O80" i="15"/>
  <c r="L105" i="15" l="1"/>
  <c r="O105" i="15" s="1"/>
  <c r="L95" i="15"/>
  <c r="O95" i="15" s="1"/>
  <c r="G90" i="16"/>
  <c r="J90" i="16" s="1"/>
  <c r="I95" i="15"/>
  <c r="G101" i="15"/>
  <c r="I101" i="15" s="1"/>
  <c r="J105" i="15"/>
  <c r="I100" i="16"/>
  <c r="N105" i="15" l="1"/>
  <c r="I90" i="16"/>
  <c r="N95" i="15"/>
  <c r="G96" i="16"/>
  <c r="I96" i="16" s="1"/>
  <c r="J101" i="15"/>
  <c r="L101" i="15"/>
  <c r="O101" i="15" s="1"/>
  <c r="J96" i="16" l="1"/>
  <c r="N101" i="15"/>
</calcChain>
</file>

<file path=xl/sharedStrings.xml><?xml version="1.0" encoding="utf-8"?>
<sst xmlns="http://schemas.openxmlformats.org/spreadsheetml/2006/main" count="382" uniqueCount="216">
  <si>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</si>
  <si>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</si>
  <si>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</si>
  <si>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</si>
  <si>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</si>
  <si>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</si>
  <si>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</si>
  <si>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</si>
  <si>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</si>
  <si>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</si>
  <si>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</si>
  <si>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</si>
  <si>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</si>
  <si>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</si>
  <si>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</si>
  <si>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</si>
  <si>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</si>
  <si>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</si>
  <si>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</si>
  <si>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</si>
  <si>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</si>
  <si>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</si>
  <si>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</si>
  <si>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</si>
  <si>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</si>
  <si>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</si>
  <si>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</si>
  <si>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</si>
  <si>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</si>
  <si>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</si>
  <si>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</si>
  <si>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</si>
  <si>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</si>
  <si>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</si>
  <si>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</si>
  <si>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</si>
  <si>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</si>
  <si>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</si>
  <si>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</si>
  <si>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</si>
  <si>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</si>
  <si>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</si>
  <si>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</si>
  <si>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</si>
  <si>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</si>
  <si>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</si>
  <si>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</si>
  <si>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</si>
  <si>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</si>
  <si>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</si>
  <si>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</si>
  <si>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</si>
  <si>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</si>
  <si>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</si>
  <si>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</si>
  <si>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</si>
  <si>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</si>
  <si>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</si>
  <si>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</si>
  <si>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</si>
  <si>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</si>
  <si>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</si>
  <si>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</si>
  <si>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</si>
  <si>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</si>
  <si>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</si>
  <si>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</si>
  <si>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</si>
  <si>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</si>
  <si>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</si>
  <si>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</si>
  <si>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</si>
  <si>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</si>
  <si>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</si>
  <si>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</si>
  <si>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</si>
  <si>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</si>
  <si>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</si>
  <si>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</si>
  <si>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</si>
  <si>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</si>
  <si>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</si>
  <si>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</si>
  <si>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</si>
  <si>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</si>
  <si>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</si>
  <si>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</si>
  <si>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</si>
  <si>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</si>
  <si>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</si>
  <si>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</si>
  <si>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</si>
  <si>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</si>
  <si>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</si>
  <si>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</si>
  <si>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</si>
  <si>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</si>
  <si>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</si>
  <si>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</si>
  <si>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</si>
  <si>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</si>
  <si>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</si>
  <si>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</si>
  <si>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</si>
  <si>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</si>
  <si>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</si>
  <si>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</si>
  <si>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</si>
  <si>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</si>
  <si>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</si>
  <si>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</si>
  <si>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</si>
  <si>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</si>
  <si>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</si>
  <si>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Otras transferencias </t>
  </si>
  <si>
    <t xml:space="preserve">Otras funciones  </t>
  </si>
  <si>
    <t xml:space="preserve">Rentas de la propiedad </t>
  </si>
  <si>
    <t xml:space="preserve">Resto tributarios    </t>
  </si>
  <si>
    <t xml:space="preserve">Otros Gastos Corrientes     </t>
  </si>
  <si>
    <t>Base Caja - En millones de pesos</t>
  </si>
  <si>
    <t>SECTOR PUBLICO BASE CAJA - AGOSTO 2025</t>
  </si>
  <si>
    <t xml:space="preserve">ESQUEMA AHORRO - INVERSION </t>
  </si>
  <si>
    <t>En millones de pesos</t>
  </si>
  <si>
    <t>ADMINISTRACION NACIONAL</t>
  </si>
  <si>
    <t>PAMI, FDOS.</t>
  </si>
  <si>
    <t>CONCEPTO</t>
  </si>
  <si>
    <t>TESORO</t>
  </si>
  <si>
    <t>REC.</t>
  </si>
  <si>
    <t>ORG.</t>
  </si>
  <si>
    <t>INST.DE</t>
  </si>
  <si>
    <t>EX-CAJAS</t>
  </si>
  <si>
    <t>TOTAL</t>
  </si>
  <si>
    <t>FIDUCIARIOS</t>
  </si>
  <si>
    <t>T O T A L</t>
  </si>
  <si>
    <t>NACIONAL</t>
  </si>
  <si>
    <t>AFECT.</t>
  </si>
  <si>
    <t>DESC.</t>
  </si>
  <si>
    <t>SEG.SOC.</t>
  </si>
  <si>
    <t>PVCIALES.</t>
  </si>
  <si>
    <t>Y OTROS</t>
  </si>
  <si>
    <t>I)</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</si>
  <si>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</si>
  <si>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</si>
  <si>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</si>
  <si>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</si>
  <si>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</si>
  <si>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</si>
  <si>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r>
      <t xml:space="preserve">     - RENTAS DE LA PROPIEDAD NETAS </t>
    </r>
    <r>
      <rPr>
        <b/>
        <sz val="10"/>
        <rFont val="Arial"/>
        <family val="2"/>
      </rPr>
      <t>(1)</t>
    </r>
  </si>
  <si>
    <t xml:space="preserve">     - TRANSFERENCIAS CORRIENTES</t>
  </si>
  <si>
    <t xml:space="preserve">     - OTROS INGRESOS</t>
  </si>
  <si>
    <r>
      <t xml:space="preserve">     - SUPERAVIT OPERATIVO EMPRESAS PUB. </t>
    </r>
    <r>
      <rPr>
        <b/>
        <sz val="10"/>
        <rFont val="Arial"/>
        <family val="2"/>
      </rPr>
      <t>(3)</t>
    </r>
  </si>
  <si>
    <t>II)</t>
  </si>
  <si>
    <t>GASTOS CORRIENTES</t>
  </si>
  <si>
    <t xml:space="preserve">     - GASTOS DE CONSUMO Y OPERACION</t>
  </si>
  <si>
    <t xml:space="preserve">       . Remuneraciones</t>
  </si>
  <si>
    <t xml:space="preserve">       . Bienes y Servicios</t>
  </si>
  <si>
    <t xml:space="preserve">       . Otros Gastos</t>
  </si>
  <si>
    <t xml:space="preserve">     - INTERESES Y OTRAS RENTAS DE LA PROP.</t>
  </si>
  <si>
    <r>
      <t xml:space="preserve">       . Intereses Netos </t>
    </r>
    <r>
      <rPr>
        <b/>
        <sz val="10"/>
        <rFont val="Arial"/>
        <family val="2"/>
      </rPr>
      <t>(2)</t>
    </r>
  </si>
  <si>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</si>
  <si>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</si>
  <si>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</si>
  <si>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</si>
  <si>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</si>
  <si>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</si>
  <si>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</si>
  <si>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</si>
  <si>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</si>
  <si>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</si>
  <si>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r>
      <t xml:space="preserve">     - DEFICIT OPERATIVO EMPRESAS PUB. </t>
    </r>
    <r>
      <rPr>
        <b/>
        <sz val="10"/>
        <rFont val="Arial"/>
        <family val="2"/>
      </rPr>
      <t>(3)</t>
    </r>
  </si>
  <si>
    <t>III)</t>
  </si>
  <si>
    <t>RESULT.ECON.: AHORRO/DESAHORRO (I-II)</t>
  </si>
  <si>
    <t>IV)</t>
  </si>
  <si>
    <t>RECURSOS DE CAPITAL</t>
  </si>
  <si>
    <t>V)</t>
  </si>
  <si>
    <t>GASTOS DE CAPITAL</t>
  </si>
  <si>
    <t xml:space="preserve">     - INVERSION REAL DIRECTA</t>
  </si>
  <si>
    <t xml:space="preserve">     - TRANSFERENCIAS DE CAPITAL</t>
  </si>
  <si>
    <t xml:space="preserve">       . A Provincias y CABA</t>
  </si>
  <si>
    <t xml:space="preserve">       . Otras</t>
  </si>
  <si>
    <t xml:space="preserve">     - INVERSION FINANCIERA</t>
  </si>
  <si>
    <t xml:space="preserve">       . Resto</t>
  </si>
  <si>
    <t>VI)</t>
  </si>
  <si>
    <t>INGRESOS ANTES DE FIGURAT.(I+IV)</t>
  </si>
  <si>
    <t>VII)</t>
  </si>
  <si>
    <t>GASTOS ANTES DE FIGURAT.(II+V)</t>
  </si>
  <si>
    <t>VIII)</t>
  </si>
  <si>
    <t>RESULT.FINANC.ANTES DE FIGURAT.(VI-VII)</t>
  </si>
  <si>
    <t>IX)</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</si>
  <si>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</si>
  <si>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</si>
  <si>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</si>
  <si>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</si>
  <si>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</si>
  <si>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Ex-Cajas Provinciales</t>
  </si>
  <si>
    <t xml:space="preserve">     - De PAMI, Fdos. Fiduciarios y Otros</t>
  </si>
  <si>
    <t>X)</t>
  </si>
  <si>
    <t>GASTOS FIGURATIVOS</t>
  </si>
  <si>
    <t>XI)</t>
  </si>
  <si>
    <t>INGRESOS DESPUES DE FIGURAT.</t>
  </si>
  <si>
    <t>XII)</t>
  </si>
  <si>
    <t>GASTOS PRIMARIOS DESPUES DE FIGURAT.</t>
  </si>
  <si>
    <t>XIII)</t>
  </si>
  <si>
    <t>GASTOS DESPUES DE FIGURAT.</t>
  </si>
  <si>
    <t>XIV)</t>
  </si>
  <si>
    <t>RESULTADO PRIMARIO  (XI-XII)</t>
  </si>
  <si>
    <t>XV)</t>
  </si>
  <si>
    <t>RESULTADO FINANCIERO  (XI-XIII)</t>
  </si>
  <si>
    <t>- RENTAS PERCIBIDAS DEL BCRA</t>
  </si>
  <si>
    <t>- RENTAS PÚBL. PERCIBIDAS POR EL FGS Y OTROS</t>
  </si>
  <si>
    <t>- INTERESES PAGADOS INTRA-SECTOR PÚBLICO</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</si>
  <si>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</si>
  <si>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$2.508,5 M. </t>
  </si>
  <si>
    <t>- las generadas por activos del Sector Público no Financiero en posesión de organismos del Sector Público no Financiero excluyendo el FGS por $31,4 M.</t>
  </si>
  <si>
    <r>
      <rPr>
        <b/>
        <sz val="10"/>
        <color theme="1"/>
        <rFont val="Arial"/>
        <family val="2"/>
      </rPr>
      <t xml:space="preserve">(2) </t>
    </r>
    <r>
      <rPr>
        <sz val="10"/>
        <color theme="1"/>
        <rFont val="Arial"/>
        <family val="2"/>
      </rPr>
      <t>Excluye intereses pagados Intra-Sector Público Nacional por $2.539,9 M.</t>
    </r>
  </si>
  <si>
    <r>
      <t xml:space="preserve">(3) </t>
    </r>
    <r>
      <rPr>
        <sz val="10"/>
        <rFont val="Arial"/>
        <family val="2"/>
      </rPr>
      <t>A partir de 2025 se expone la sumatoria del superávit operativo de empresas públicas y la sumatoria de sus déficits operativos. En años anteriores de exponía el resultado operativo global del subsector.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</si>
</sst>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0.00_ ;\-#,##0.00\ "/>
    <numFmt numFmtId="176" formatCode="#,##0.0_ ;\-#,##0.0\ "/>
  </numFmts>
  <fonts count="77">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u/>
      <sz val="10"/>
      <name val="Arial"/>
      <family val="2"/>
    </font>
    <font>
      <sz val="10"/>
      <color indexed="8"/>
      <name val="Arial"/>
      <family val="2"/>
    </font>
    <font>
      <b/>
      <i/>
      <sz val="12"/>
      <name val="Arial"/>
      <family val="2"/>
    </font>
    <font>
      <sz val="10"/>
      <color indexed="8"/>
      <name val="CG Times"/>
      <family val="1"/>
    </font>
    <font>
      <b/>
      <sz val="10"/>
      <color indexed="8"/>
      <name val="CG Times"/>
      <family val="1"/>
    </font>
    <font>
      <i/>
      <sz val="10"/>
      <color indexed="8"/>
      <name val="Arial"/>
      <family val="2"/>
    </font>
    <font>
      <sz val="11"/>
      <name val="Arial"/>
      <family val="2"/>
    </font>
    <font>
      <sz val="8"/>
      <color indexed="8"/>
      <name val="CG Times"/>
      <family val="1"/>
    </font>
    <font>
      <sz val="10"/>
      <color theme="1"/>
      <name val="Arial"/>
      <family val="2"/>
    </font>
    <font>
      <b/>
      <sz val="10"/>
      <color theme="1"/>
      <name val="Arial"/>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thin">
        <color indexed="64"/>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2">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9" fontId="10" fillId="0" borderId="0" applyFont="0" applyFill="0" applyBorder="0" applyAlignment="0" applyProtection="0"/>
    <xf numFmtId="0" fontId="10" fillId="0" borderId="0"/>
  </cellStyleXfs>
  <cellXfs count="262">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0" fontId="10" fillId="2" borderId="0" xfId="48" applyFill="1"/>
    <xf numFmtId="171" fontId="0" fillId="2" borderId="0" xfId="49" applyNumberFormat="1" applyFont="1" applyFill="1" applyAlignment="1">
      <alignment horizontal="right"/>
    </xf>
    <xf numFmtId="0" fontId="10" fillId="2" borderId="0" xfId="48" applyFill="1" applyAlignment="1">
      <alignment horizontal="right"/>
    </xf>
    <xf numFmtId="173" fontId="0" fillId="2" borderId="0" xfId="49" applyNumberFormat="1" applyFont="1" applyFill="1"/>
    <xf numFmtId="0" fontId="10" fillId="0" borderId="0" xfId="48"/>
    <xf numFmtId="0" fontId="14" fillId="2" borderId="0" xfId="48" applyFont="1" applyFill="1" applyAlignment="1">
      <alignment vertical="center"/>
    </xf>
    <xf numFmtId="0" fontId="10" fillId="2" borderId="0" xfId="48" applyFill="1" applyAlignment="1">
      <alignment vertical="center"/>
    </xf>
    <xf numFmtId="0" fontId="15" fillId="2" borderId="0" xfId="48" applyFont="1" applyFill="1" applyAlignment="1">
      <alignment vertical="center"/>
    </xf>
    <xf numFmtId="17" fontId="48" fillId="2" borderId="0" xfId="48" quotePrefix="1" applyNumberFormat="1" applyFont="1" applyFill="1" applyAlignment="1">
      <alignment horizontal="center" vertical="center"/>
    </xf>
    <xf numFmtId="17" fontId="17" fillId="2" borderId="0" xfId="48" applyNumberFormat="1" applyFont="1" applyFill="1" applyAlignment="1">
      <alignment horizontal="center" vertical="center"/>
    </xf>
    <xf numFmtId="3" fontId="17" fillId="2" borderId="0" xfId="49" applyNumberFormat="1" applyFont="1" applyFill="1" applyAlignment="1">
      <alignment horizontal="center" vertical="center"/>
    </xf>
    <xf numFmtId="0" fontId="17" fillId="2" borderId="0" xfId="48" applyFont="1" applyFill="1" applyAlignment="1">
      <alignment vertical="center"/>
    </xf>
    <xf numFmtId="0" fontId="18" fillId="2" borderId="0" xfId="48" applyFont="1" applyFill="1" applyAlignment="1">
      <alignment vertical="center"/>
    </xf>
    <xf numFmtId="4" fontId="17" fillId="2" borderId="0" xfId="49" applyNumberFormat="1" applyFont="1" applyFill="1" applyAlignment="1">
      <alignment horizontal="center" vertical="center"/>
    </xf>
    <xf numFmtId="4" fontId="48" fillId="2" borderId="0" xfId="49" applyNumberFormat="1" applyFont="1" applyFill="1" applyAlignment="1">
      <alignment horizontal="center" vertical="center"/>
    </xf>
    <xf numFmtId="3" fontId="14" fillId="2" borderId="0" xfId="49" applyNumberFormat="1" applyFont="1" applyFill="1" applyAlignment="1">
      <alignment horizontal="center" vertical="center"/>
    </xf>
    <xf numFmtId="0" fontId="17" fillId="4" borderId="0" xfId="48" applyFont="1" applyFill="1" applyAlignment="1">
      <alignment vertical="center"/>
    </xf>
    <xf numFmtId="171" fontId="17" fillId="4" borderId="0" xfId="49" applyNumberFormat="1" applyFont="1" applyFill="1" applyAlignment="1">
      <alignment horizontal="right" vertical="center"/>
    </xf>
    <xf numFmtId="167" fontId="17" fillId="4" borderId="0" xfId="50" applyNumberFormat="1" applyFont="1" applyFill="1" applyAlignment="1">
      <alignment horizontal="right" vertical="center"/>
    </xf>
    <xf numFmtId="3" fontId="17" fillId="4" borderId="0" xfId="48" applyNumberFormat="1" applyFont="1" applyFill="1" applyAlignment="1">
      <alignment horizontal="right" vertical="center"/>
    </xf>
    <xf numFmtId="0" fontId="12" fillId="3" borderId="0" xfId="48" applyFont="1" applyFill="1" applyAlignment="1">
      <alignment vertical="center"/>
    </xf>
    <xf numFmtId="171" fontId="12" fillId="3" borderId="0" xfId="49" applyNumberFormat="1" applyFont="1" applyFill="1" applyAlignment="1">
      <alignment horizontal="right" vertical="center"/>
    </xf>
    <xf numFmtId="167" fontId="12" fillId="3" borderId="0" xfId="50" applyNumberFormat="1" applyFont="1" applyFill="1" applyAlignment="1">
      <alignment horizontal="right" vertical="center"/>
    </xf>
    <xf numFmtId="3" fontId="12" fillId="3" borderId="0" xfId="48" applyNumberFormat="1" applyFont="1" applyFill="1" applyAlignment="1">
      <alignment horizontal="right" vertical="center"/>
    </xf>
    <xf numFmtId="0" fontId="19" fillId="2" borderId="0" xfId="48" applyFont="1" applyFill="1" applyAlignment="1">
      <alignment vertical="center"/>
    </xf>
    <xf numFmtId="171" fontId="19" fillId="2" borderId="0" xfId="49" applyNumberFormat="1" applyFont="1" applyFill="1" applyAlignment="1">
      <alignment horizontal="right" vertical="center"/>
    </xf>
    <xf numFmtId="167" fontId="19" fillId="2" borderId="0" xfId="50" applyNumberFormat="1" applyFont="1" applyFill="1" applyAlignment="1">
      <alignment horizontal="right" vertical="center"/>
    </xf>
    <xf numFmtId="169" fontId="19" fillId="2" borderId="0" xfId="48" applyNumberFormat="1" applyFont="1" applyFill="1" applyAlignment="1">
      <alignment horizontal="right" vertical="center"/>
    </xf>
    <xf numFmtId="3" fontId="19" fillId="2" borderId="0" xfId="48" applyNumberFormat="1" applyFont="1" applyFill="1" applyAlignment="1">
      <alignment horizontal="right" vertical="center"/>
    </xf>
    <xf numFmtId="0" fontId="16" fillId="2" borderId="0" xfId="48" applyFont="1" applyFill="1" applyAlignment="1">
      <alignment vertical="center"/>
    </xf>
    <xf numFmtId="0" fontId="20" fillId="2" borderId="0" xfId="48" applyFont="1" applyFill="1" applyAlignment="1">
      <alignment vertical="center"/>
    </xf>
    <xf numFmtId="0" fontId="21" fillId="2" borderId="0" xfId="48" applyFont="1" applyFill="1" applyAlignment="1">
      <alignment vertical="center"/>
    </xf>
    <xf numFmtId="0" fontId="22" fillId="2" borderId="0" xfId="48" applyFont="1" applyFill="1" applyAlignment="1">
      <alignment vertical="center"/>
    </xf>
    <xf numFmtId="0" fontId="23" fillId="2" borderId="0" xfId="48" applyFont="1" applyFill="1" applyAlignment="1">
      <alignment vertical="center"/>
    </xf>
    <xf numFmtId="171" fontId="21" fillId="2" borderId="0" xfId="49" applyNumberFormat="1" applyFont="1" applyFill="1" applyAlignment="1">
      <alignment horizontal="right" vertical="center"/>
    </xf>
    <xf numFmtId="167" fontId="21" fillId="2" borderId="0" xfId="50" applyNumberFormat="1" applyFont="1" applyFill="1" applyAlignment="1">
      <alignment horizontal="right" vertical="center"/>
    </xf>
    <xf numFmtId="3" fontId="21" fillId="2" borderId="0" xfId="48" applyNumberFormat="1" applyFont="1" applyFill="1" applyAlignment="1">
      <alignment horizontal="right" vertical="center"/>
    </xf>
    <xf numFmtId="0" fontId="24" fillId="2" borderId="0" xfId="48" applyFont="1" applyFill="1" applyAlignment="1">
      <alignment vertical="center"/>
    </xf>
    <xf numFmtId="3" fontId="10" fillId="2" borderId="0" xfId="48" applyNumberFormat="1" applyFill="1" applyAlignment="1">
      <alignment horizontal="right"/>
    </xf>
    <xf numFmtId="0" fontId="21" fillId="2" borderId="0" xfId="48" applyFont="1" applyFill="1"/>
    <xf numFmtId="0" fontId="21" fillId="0" borderId="0" xfId="48" applyFont="1"/>
    <xf numFmtId="171" fontId="23" fillId="2" borderId="0" xfId="49" applyNumberFormat="1" applyFont="1" applyFill="1" applyAlignment="1">
      <alignment horizontal="right" vertical="center"/>
    </xf>
    <xf numFmtId="167" fontId="23" fillId="2" borderId="0" xfId="50" applyNumberFormat="1" applyFont="1" applyFill="1" applyAlignment="1">
      <alignment horizontal="right" vertical="center"/>
    </xf>
    <xf numFmtId="3" fontId="23" fillId="2" borderId="0" xfId="48" applyNumberFormat="1" applyFont="1" applyFill="1" applyAlignment="1">
      <alignment horizontal="right" vertical="center"/>
    </xf>
    <xf numFmtId="0" fontId="26" fillId="2" borderId="0" xfId="48" applyFont="1" applyFill="1" applyAlignment="1">
      <alignment vertical="center"/>
    </xf>
    <xf numFmtId="0" fontId="27" fillId="2" borderId="0" xfId="48" applyFont="1" applyFill="1" applyAlignment="1">
      <alignment vertical="center"/>
    </xf>
    <xf numFmtId="49" fontId="29" fillId="36" borderId="0" xfId="48" applyNumberFormat="1" applyFont="1" applyFill="1" applyAlignment="1">
      <alignment vertical="center"/>
    </xf>
    <xf numFmtId="49" fontId="29" fillId="36" borderId="0" xfId="48" quotePrefix="1" applyNumberFormat="1" applyFont="1" applyFill="1" applyAlignment="1">
      <alignment vertical="center"/>
    </xf>
    <xf numFmtId="0" fontId="42" fillId="2" borderId="0" xfId="48" applyFont="1" applyFill="1" applyAlignment="1">
      <alignment vertical="center"/>
    </xf>
    <xf numFmtId="0" fontId="45" fillId="2" borderId="0" xfId="48" applyFont="1" applyFill="1" applyAlignment="1">
      <alignment vertical="center"/>
    </xf>
    <xf numFmtId="0" fontId="29" fillId="2" borderId="0" xfId="48" applyFont="1" applyFill="1" applyAlignment="1">
      <alignment vertical="center"/>
    </xf>
    <xf numFmtId="171" fontId="0" fillId="2" borderId="0" xfId="49" applyNumberFormat="1" applyFont="1" applyFill="1"/>
    <xf numFmtId="3" fontId="0" fillId="2" borderId="0" xfId="49" applyNumberFormat="1" applyFont="1" applyFill="1"/>
    <xf numFmtId="166" fontId="61" fillId="2" borderId="0" xfId="48" applyNumberFormat="1" applyFont="1" applyFill="1" applyAlignment="1">
      <alignment horizontal="left" vertical="center"/>
    </xf>
    <xf numFmtId="0" fontId="46" fillId="2" borderId="0" xfId="48" applyFont="1" applyFill="1" applyAlignment="1">
      <alignment vertical="center"/>
    </xf>
    <xf numFmtId="171" fontId="0" fillId="2" borderId="0" xfId="49" applyNumberFormat="1" applyFont="1" applyFill="1" applyAlignment="1">
      <alignment horizontal="center"/>
    </xf>
    <xf numFmtId="0" fontId="68" fillId="0" borderId="0" xfId="0" applyFont="1"/>
    <xf numFmtId="0" fontId="67" fillId="0" borderId="0" xfId="0" applyFont="1" applyAlignment="1">
      <alignment horizontal="left"/>
    </xf>
    <xf numFmtId="14" fontId="68" fillId="0" borderId="0" xfId="0" applyNumberFormat="1" applyFont="1"/>
    <xf numFmtId="166" fontId="69" fillId="0" borderId="0" xfId="0" applyNumberFormat="1" applyFont="1" applyAlignment="1">
      <alignment horizontal="centerContinuous"/>
    </xf>
    <xf numFmtId="166" fontId="0" fillId="0" borderId="0" xfId="0" applyNumberFormat="1" applyAlignment="1">
      <alignment horizontal="centerContinuous"/>
    </xf>
    <xf numFmtId="166" fontId="68" fillId="0" borderId="0" xfId="0" applyNumberFormat="1" applyFont="1" applyAlignment="1">
      <alignment horizontal="centerContinuous"/>
    </xf>
    <xf numFmtId="0" fontId="0" fillId="0" borderId="0" xfId="0" applyAlignment="1">
      <alignment horizontal="centerContinuous"/>
    </xf>
    <xf numFmtId="14" fontId="68" fillId="0" borderId="0" xfId="0" applyNumberFormat="1" applyFont="1" applyAlignment="1">
      <alignment horizontal="centerContinuous"/>
    </xf>
    <xf numFmtId="166" fontId="70" fillId="0" borderId="0" xfId="0" applyNumberFormat="1" applyFont="1" applyAlignment="1">
      <alignment horizontal="centerContinuous"/>
    </xf>
    <xf numFmtId="166" fontId="71" fillId="0" borderId="0" xfId="0" applyNumberFormat="1" applyFont="1" applyAlignment="1">
      <alignment horizontal="centerContinuous"/>
    </xf>
    <xf numFmtId="0" fontId="69" fillId="0" borderId="0" xfId="0" applyFont="1" applyAlignment="1">
      <alignment horizontal="centerContinuous"/>
    </xf>
    <xf numFmtId="0" fontId="0" fillId="0" borderId="0" xfId="0" applyAlignment="1">
      <alignment horizontal="left"/>
    </xf>
    <xf numFmtId="166" fontId="11" fillId="0" borderId="10" xfId="0" applyNumberFormat="1" applyFont="1" applyBorder="1" applyAlignment="1">
      <alignment horizontal="right" vertical="center"/>
    </xf>
    <xf numFmtId="166" fontId="11" fillId="0" borderId="11" xfId="0" applyNumberFormat="1" applyFont="1" applyBorder="1" applyAlignment="1">
      <alignment vertical="center"/>
    </xf>
    <xf numFmtId="166" fontId="72" fillId="0" borderId="11" xfId="0" applyNumberFormat="1" applyFont="1" applyBorder="1" applyAlignment="1">
      <alignment horizontal="centerContinuous" vertical="center"/>
    </xf>
    <xf numFmtId="166" fontId="68" fillId="0" borderId="11" xfId="0" applyNumberFormat="1" applyFont="1" applyBorder="1" applyAlignment="1">
      <alignment horizontal="centerContinuous" vertical="center"/>
    </xf>
    <xf numFmtId="166" fontId="68" fillId="0" borderId="11" xfId="0" applyNumberFormat="1" applyFont="1" applyBorder="1" applyAlignment="1">
      <alignment horizontal="center" vertical="center"/>
    </xf>
    <xf numFmtId="166" fontId="72" fillId="0" borderId="12" xfId="0" applyNumberFormat="1" applyFont="1" applyBorder="1" applyAlignment="1">
      <alignment vertical="center"/>
    </xf>
    <xf numFmtId="166" fontId="11" fillId="0" borderId="13" xfId="0" applyNumberFormat="1" applyFont="1" applyBorder="1" applyAlignment="1">
      <alignment horizontal="right" vertical="center"/>
    </xf>
    <xf numFmtId="166" fontId="11" fillId="0" borderId="0" xfId="0" applyNumberFormat="1" applyFont="1" applyAlignment="1">
      <alignment horizontal="center" vertical="center"/>
    </xf>
    <xf numFmtId="166" fontId="68" fillId="0" borderId="14" xfId="0" applyNumberFormat="1" applyFont="1" applyBorder="1" applyAlignment="1">
      <alignment horizontal="centerContinuous" vertical="center"/>
    </xf>
    <xf numFmtId="166" fontId="68" fillId="0" borderId="14" xfId="0" applyNumberFormat="1" applyFont="1" applyBorder="1" applyAlignment="1">
      <alignment horizontal="center" vertical="center"/>
    </xf>
    <xf numFmtId="166" fontId="68" fillId="0" borderId="0" xfId="0" applyNumberFormat="1" applyFont="1" applyAlignment="1">
      <alignment horizontal="center" vertical="center"/>
    </xf>
    <xf numFmtId="166" fontId="68" fillId="0" borderId="15" xfId="0" applyNumberFormat="1" applyFont="1" applyBorder="1" applyAlignment="1">
      <alignment horizontal="center" vertical="center"/>
    </xf>
    <xf numFmtId="166" fontId="11" fillId="0" borderId="0" xfId="0" applyNumberFormat="1" applyFont="1" applyAlignment="1">
      <alignment vertical="center"/>
    </xf>
    <xf numFmtId="166" fontId="68" fillId="0" borderId="0" xfId="0" applyNumberFormat="1" applyFont="1" applyAlignment="1">
      <alignment horizontal="centerContinuous" vertical="center"/>
    </xf>
    <xf numFmtId="166" fontId="68" fillId="0" borderId="0" xfId="0" applyNumberFormat="1" applyFont="1" applyAlignment="1">
      <alignment horizontal="right" vertical="center"/>
    </xf>
    <xf numFmtId="166" fontId="68" fillId="0" borderId="0" xfId="0" applyNumberFormat="1" applyFont="1" applyAlignment="1">
      <alignment vertical="center"/>
    </xf>
    <xf numFmtId="166" fontId="68" fillId="0" borderId="15" xfId="0" applyNumberFormat="1" applyFont="1" applyBorder="1" applyAlignment="1">
      <alignment vertical="center"/>
    </xf>
    <xf numFmtId="166" fontId="11" fillId="0" borderId="16" xfId="0" applyNumberFormat="1" applyFont="1" applyBorder="1" applyAlignment="1">
      <alignment horizontal="right" vertical="center"/>
    </xf>
    <xf numFmtId="166" fontId="11" fillId="0" borderId="14" xfId="0" applyNumberFormat="1" applyFont="1" applyBorder="1" applyAlignment="1">
      <alignment horizontal="left" vertical="center"/>
    </xf>
    <xf numFmtId="166" fontId="68" fillId="0" borderId="14" xfId="0" applyNumberFormat="1" applyFont="1" applyBorder="1" applyAlignment="1">
      <alignment horizontal="left" vertical="center"/>
    </xf>
    <xf numFmtId="166" fontId="68" fillId="0" borderId="17" xfId="0" applyNumberFormat="1" applyFont="1" applyBorder="1" applyAlignment="1">
      <alignment horizontal="left" vertical="center"/>
    </xf>
    <xf numFmtId="166" fontId="50" fillId="0" borderId="13" xfId="0" applyNumberFormat="1" applyFont="1" applyBorder="1" applyAlignment="1">
      <alignment horizontal="right" vertical="center"/>
    </xf>
    <xf numFmtId="166" fontId="50" fillId="0" borderId="0" xfId="0" applyNumberFormat="1" applyFont="1" applyAlignment="1">
      <alignment horizontal="left" vertical="center"/>
    </xf>
    <xf numFmtId="174" fontId="50" fillId="0" borderId="0" xfId="0" applyNumberFormat="1" applyFont="1" applyAlignment="1">
      <alignment vertical="top"/>
    </xf>
    <xf numFmtId="174" fontId="50" fillId="0" borderId="15" xfId="0" applyNumberFormat="1" applyFont="1" applyBorder="1" applyAlignment="1">
      <alignment horizontal="right" vertical="top" indent="1"/>
    </xf>
    <xf numFmtId="174" fontId="0" fillId="0" borderId="0" xfId="0" applyNumberFormat="1"/>
    <xf numFmtId="166" fontId="11" fillId="0" borderId="0" xfId="0" applyNumberFormat="1" applyFont="1" applyAlignment="1">
      <alignment horizontal="left" vertical="center"/>
    </xf>
    <xf numFmtId="174" fontId="11" fillId="0" borderId="0" xfId="0" applyNumberFormat="1" applyFont="1" applyAlignment="1">
      <alignment vertical="top"/>
    </xf>
    <xf numFmtId="174" fontId="11" fillId="0" borderId="15" xfId="0" applyNumberFormat="1" applyFont="1" applyBorder="1" applyAlignment="1">
      <alignment horizontal="right" vertical="top" indent="1"/>
    </xf>
    <xf numFmtId="166" fontId="68" fillId="0" borderId="0" xfId="0" applyNumberFormat="1" applyFont="1" applyAlignment="1">
      <alignment horizontal="left" vertical="center"/>
    </xf>
    <xf numFmtId="174" fontId="73" fillId="0" borderId="0" xfId="51" applyNumberFormat="1" applyFont="1" applyAlignment="1">
      <alignment vertical="top"/>
    </xf>
    <xf numFmtId="166" fontId="50" fillId="0" borderId="10" xfId="0" applyNumberFormat="1" applyFont="1" applyBorder="1" applyAlignment="1">
      <alignment horizontal="right" vertical="center"/>
    </xf>
    <xf numFmtId="166" fontId="50" fillId="0" borderId="11" xfId="0" applyNumberFormat="1" applyFont="1" applyBorder="1" applyAlignment="1">
      <alignment horizontal="left" vertical="center"/>
    </xf>
    <xf numFmtId="174" fontId="50" fillId="0" borderId="11" xfId="0" applyNumberFormat="1" applyFont="1" applyBorder="1" applyAlignment="1">
      <alignment vertical="top"/>
    </xf>
    <xf numFmtId="174" fontId="50" fillId="0" borderId="12" xfId="0" applyNumberFormat="1" applyFont="1" applyBorder="1" applyAlignment="1">
      <alignment horizontal="right" vertical="top" indent="1"/>
    </xf>
    <xf numFmtId="166" fontId="50" fillId="0" borderId="18" xfId="0" applyNumberFormat="1" applyFont="1" applyBorder="1" applyAlignment="1">
      <alignment horizontal="right" vertical="center"/>
    </xf>
    <xf numFmtId="166" fontId="50" fillId="0" borderId="19" xfId="0" applyNumberFormat="1" applyFont="1" applyBorder="1" applyAlignment="1">
      <alignment horizontal="left" vertical="center"/>
    </xf>
    <xf numFmtId="174" fontId="50" fillId="0" borderId="19" xfId="0" applyNumberFormat="1" applyFont="1" applyBorder="1" applyAlignment="1">
      <alignment vertical="top"/>
    </xf>
    <xf numFmtId="174" fontId="50" fillId="0" borderId="20" xfId="0" applyNumberFormat="1" applyFont="1" applyBorder="1" applyAlignment="1">
      <alignment horizontal="right" vertical="top" indent="1"/>
    </xf>
    <xf numFmtId="0" fontId="0" fillId="0" borderId="10" xfId="0" applyBorder="1"/>
    <xf numFmtId="174" fontId="11" fillId="0" borderId="12" xfId="0" applyNumberFormat="1" applyFont="1" applyBorder="1" applyAlignment="1">
      <alignment horizontal="right" vertical="top" indent="1"/>
    </xf>
    <xf numFmtId="166" fontId="11" fillId="0" borderId="13" xfId="0" applyNumberFormat="1" applyFont="1" applyBorder="1" applyAlignment="1">
      <alignment vertical="center"/>
    </xf>
    <xf numFmtId="49" fontId="11" fillId="0" borderId="0" xfId="0" applyNumberFormat="1" applyFont="1" applyAlignment="1">
      <alignment horizontal="left" vertical="center"/>
    </xf>
    <xf numFmtId="166" fontId="50" fillId="0" borderId="18" xfId="0" applyNumberFormat="1" applyFont="1" applyBorder="1" applyAlignment="1">
      <alignment horizontal="left" vertical="center"/>
    </xf>
    <xf numFmtId="166" fontId="11" fillId="0" borderId="19" xfId="0" applyNumberFormat="1" applyFont="1" applyBorder="1"/>
    <xf numFmtId="174" fontId="68" fillId="0" borderId="19" xfId="0" applyNumberFormat="1" applyFont="1" applyBorder="1" applyAlignment="1">
      <alignment vertical="top"/>
    </xf>
    <xf numFmtId="174" fontId="68" fillId="0" borderId="20" xfId="0" applyNumberFormat="1" applyFont="1" applyBorder="1" applyAlignment="1">
      <alignment vertical="top"/>
    </xf>
    <xf numFmtId="166" fontId="0" fillId="0" borderId="0" xfId="0" applyNumberFormat="1"/>
    <xf numFmtId="166" fontId="74" fillId="0" borderId="0" xfId="0" applyNumberFormat="1" applyFont="1"/>
    <xf numFmtId="166" fontId="11" fillId="0" borderId="0" xfId="2" applyNumberFormat="1" applyAlignment="1">
      <alignment vertical="center"/>
    </xf>
    <xf numFmtId="0" fontId="55" fillId="0" borderId="0" xfId="0" applyFont="1"/>
    <xf numFmtId="166" fontId="11" fillId="36" borderId="0" xfId="2" applyNumberFormat="1" applyFill="1" applyAlignment="1">
      <alignment vertical="center"/>
    </xf>
    <xf numFmtId="49" fontId="75" fillId="0" borderId="0" xfId="2" applyNumberFormat="1" applyFont="1" applyAlignment="1">
      <alignment horizontal="left" vertical="center"/>
    </xf>
    <xf numFmtId="166" fontId="75" fillId="0" borderId="0" xfId="2" applyNumberFormat="1" applyFont="1" applyAlignment="1">
      <alignment vertical="center"/>
    </xf>
    <xf numFmtId="175" fontId="11" fillId="36" borderId="0" xfId="2" applyNumberFormat="1" applyFill="1" applyAlignment="1">
      <alignment vertical="center"/>
    </xf>
    <xf numFmtId="176" fontId="0" fillId="0" borderId="0" xfId="0" applyNumberFormat="1"/>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12" fillId="2" borderId="0" xfId="48" applyFont="1" applyFill="1" applyAlignment="1">
      <alignment horizontal="center" vertical="center"/>
    </xf>
    <xf numFmtId="49" fontId="75" fillId="0" borderId="0" xfId="2" applyNumberFormat="1" applyFont="1" applyAlignment="1">
      <alignment horizontal="left" vertical="center" wrapText="1"/>
    </xf>
    <xf numFmtId="166" fontId="50" fillId="0" borderId="0" xfId="2" applyNumberFormat="1" applyFont="1" applyAlignment="1">
      <alignment horizontal="left" vertical="top" wrapText="1"/>
    </xf>
    <xf numFmtId="0" fontId="13" fillId="2" borderId="0" xfId="48" applyFont="1" applyFill="1" applyAlignment="1">
      <alignment vertical="center"/>
    </xf>
    <xf numFmtId="171" fontId="14" fillId="2" borderId="0" xfId="49" applyNumberFormat="1" applyFont="1" applyFill="1" applyAlignment="1">
      <alignment vertical="center"/>
    </xf>
    <xf numFmtId="173" fontId="14" fillId="2" borderId="0" xfId="49" applyNumberFormat="1" applyFont="1" applyFill="1" applyAlignment="1">
      <alignment vertical="center"/>
    </xf>
  </cellXfs>
  <cellStyles count="52">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9" xr:uid="{F055D10E-AD7B-498E-B2C7-091BB16CAEF7}"/>
    <cellStyle name="Neutral" xfId="10" builtinId="28" customBuiltin="1"/>
    <cellStyle name="Normal" xfId="0" builtinId="0"/>
    <cellStyle name="Normal 2" xfId="2" xr:uid="{00000000-0005-0000-0000-000024000000}"/>
    <cellStyle name="Normal 3" xfId="46" xr:uid="{00000000-0005-0000-0000-000025000000}"/>
    <cellStyle name="Normal 6" xfId="48" xr:uid="{60AB7358-E18E-41C3-9C86-43E50F5DCC2F}"/>
    <cellStyle name="Normal_AIF" xfId="51" xr:uid="{15FA9FDA-9DFA-4448-B43E-264849553012}"/>
    <cellStyle name="Notas" xfId="17" builtinId="10" customBuiltin="1"/>
    <cellStyle name="Porcentaje" xfId="1" builtinId="5"/>
    <cellStyle name="Porcentaje 4" xfId="50" xr:uid="{EFE32D8E-0A82-4FC7-9977-4B1ED016BD3F}"/>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D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I:\Caja\Caja2025\PROYxMESok\PROY3T25.xlsx" TargetMode="External"/><Relationship Id="rId1" Type="http://schemas.openxmlformats.org/officeDocument/2006/relationships/externalLinkPath" Target="file:///I:\Caja\Caja2025\PROYxMESok\PROY3T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IF"/>
      <sheetName val="TN, RA y OD"/>
      <sheetName val="EP Y OTROS"/>
    </sheetNames>
    <sheetDataSet>
      <sheetData sheetId="0">
        <row r="106">
          <cell r="C106">
            <v>4283922.3</v>
          </cell>
          <cell r="D106">
            <v>362879.60000000009</v>
          </cell>
          <cell r="E106">
            <v>239613.39999999997</v>
          </cell>
          <cell r="F106">
            <v>5237020.6000000006</v>
          </cell>
          <cell r="G106">
            <v>3377.8</v>
          </cell>
          <cell r="H106">
            <v>10126813.700000003</v>
          </cell>
          <cell r="I106">
            <v>1238897.9999999998</v>
          </cell>
          <cell r="J106">
            <v>11365711.700000003</v>
          </cell>
        </row>
        <row r="107">
          <cell r="C107">
            <v>3779652.4</v>
          </cell>
          <cell r="D107">
            <v>275752.40000000002</v>
          </cell>
          <cell r="E107">
            <v>116563.7</v>
          </cell>
          <cell r="F107">
            <v>1937291.4</v>
          </cell>
          <cell r="G107">
            <v>0</v>
          </cell>
          <cell r="H107">
            <v>6109259.9000000004</v>
          </cell>
          <cell r="I107">
            <v>356094.6</v>
          </cell>
          <cell r="J107">
            <v>6465354.5</v>
          </cell>
        </row>
        <row r="108">
          <cell r="C108">
            <v>0</v>
          </cell>
          <cell r="D108">
            <v>428.2</v>
          </cell>
          <cell r="E108">
            <v>4423.2000000000007</v>
          </cell>
          <cell r="F108">
            <v>3267844.6</v>
          </cell>
          <cell r="G108">
            <v>3377.8</v>
          </cell>
          <cell r="H108">
            <v>3276073.8</v>
          </cell>
          <cell r="I108">
            <v>489529.1</v>
          </cell>
          <cell r="J108">
            <v>3765602.9</v>
          </cell>
        </row>
        <row r="109">
          <cell r="C109">
            <v>33155.699999999997</v>
          </cell>
          <cell r="D109">
            <v>77800.600000000006</v>
          </cell>
          <cell r="E109">
            <v>108162.5</v>
          </cell>
          <cell r="F109">
            <v>5416.2</v>
          </cell>
          <cell r="G109">
            <v>0</v>
          </cell>
          <cell r="H109">
            <v>224535</v>
          </cell>
          <cell r="I109">
            <v>128428.5</v>
          </cell>
          <cell r="J109">
            <v>352963.5</v>
          </cell>
        </row>
        <row r="110">
          <cell r="C110">
            <v>5.5</v>
          </cell>
          <cell r="D110">
            <v>8896.4</v>
          </cell>
          <cell r="E110">
            <v>10197.299999999999</v>
          </cell>
          <cell r="F110">
            <v>0</v>
          </cell>
          <cell r="G110">
            <v>0</v>
          </cell>
          <cell r="H110">
            <v>19099.199999999997</v>
          </cell>
          <cell r="I110">
            <v>0</v>
          </cell>
          <cell r="J110">
            <v>19099.199999999997</v>
          </cell>
        </row>
        <row r="111">
          <cell r="C111">
            <v>0</v>
          </cell>
          <cell r="D111">
            <v>0</v>
          </cell>
          <cell r="E111">
            <v>0</v>
          </cell>
          <cell r="F111">
            <v>0</v>
          </cell>
          <cell r="G111">
            <v>0</v>
          </cell>
          <cell r="H111">
            <v>0</v>
          </cell>
          <cell r="I111">
            <v>0</v>
          </cell>
          <cell r="J111">
            <v>0</v>
          </cell>
        </row>
        <row r="112">
          <cell r="C112">
            <v>460973.4</v>
          </cell>
          <cell r="D112">
            <v>2</v>
          </cell>
          <cell r="E112">
            <v>232.79999999999998</v>
          </cell>
          <cell r="F112">
            <v>26468.399999999994</v>
          </cell>
          <cell r="G112">
            <v>0</v>
          </cell>
          <cell r="H112">
            <v>487676.6</v>
          </cell>
          <cell r="I112">
            <v>79066.400000000009</v>
          </cell>
          <cell r="J112">
            <v>566743</v>
          </cell>
        </row>
        <row r="113">
          <cell r="C113">
            <v>10135.299999999999</v>
          </cell>
          <cell r="D113">
            <v>0</v>
          </cell>
          <cell r="E113">
            <v>33.9</v>
          </cell>
          <cell r="F113">
            <v>0</v>
          </cell>
          <cell r="G113">
            <v>0</v>
          </cell>
          <cell r="H113">
            <v>10169.199999999999</v>
          </cell>
          <cell r="I113">
            <v>634.5</v>
          </cell>
          <cell r="J113">
            <v>10803.699999999999</v>
          </cell>
        </row>
        <row r="114">
          <cell r="C114">
            <v>0</v>
          </cell>
          <cell r="D114">
            <v>0</v>
          </cell>
          <cell r="E114">
            <v>0</v>
          </cell>
          <cell r="F114">
            <v>0</v>
          </cell>
          <cell r="G114">
            <v>0</v>
          </cell>
          <cell r="H114">
            <v>0</v>
          </cell>
          <cell r="I114">
            <v>68640.200000000012</v>
          </cell>
          <cell r="J114">
            <v>68640.200000000012</v>
          </cell>
        </row>
        <row r="115">
          <cell r="C115">
            <v>0</v>
          </cell>
          <cell r="D115">
            <v>0</v>
          </cell>
          <cell r="E115">
            <v>0</v>
          </cell>
          <cell r="F115">
            <v>0</v>
          </cell>
          <cell r="G115">
            <v>0</v>
          </cell>
          <cell r="H115">
            <v>0</v>
          </cell>
          <cell r="I115">
            <v>116504.7</v>
          </cell>
          <cell r="J115">
            <v>116504.7</v>
          </cell>
        </row>
        <row r="117">
          <cell r="C117">
            <v>3246008.7</v>
          </cell>
          <cell r="D117">
            <v>216353.90000000002</v>
          </cell>
          <cell r="E117">
            <v>626296.29999999993</v>
          </cell>
          <cell r="F117">
            <v>5171284.7</v>
          </cell>
          <cell r="G117">
            <v>134771.79999999999</v>
          </cell>
          <cell r="H117">
            <v>9394715.4000000004</v>
          </cell>
          <cell r="I117">
            <v>1368762.6999999997</v>
          </cell>
          <cell r="J117">
            <v>10763478.1</v>
          </cell>
        </row>
        <row r="118">
          <cell r="C118">
            <v>907951.1</v>
          </cell>
          <cell r="D118">
            <v>198329.40000000002</v>
          </cell>
          <cell r="E118">
            <v>247584.4</v>
          </cell>
          <cell r="F118">
            <v>72519.899999999994</v>
          </cell>
          <cell r="G118">
            <v>0</v>
          </cell>
          <cell r="H118">
            <v>1426384.7999999998</v>
          </cell>
          <cell r="I118">
            <v>327465.7</v>
          </cell>
          <cell r="J118">
            <v>1753850.4999999998</v>
          </cell>
        </row>
        <row r="119">
          <cell r="C119">
            <v>675788.1</v>
          </cell>
          <cell r="D119">
            <v>165556.1</v>
          </cell>
          <cell r="E119">
            <v>184460.5</v>
          </cell>
          <cell r="F119">
            <v>62033.599999999999</v>
          </cell>
          <cell r="G119">
            <v>0</v>
          </cell>
          <cell r="H119">
            <v>1087838.3</v>
          </cell>
          <cell r="I119">
            <v>205127.59999999998</v>
          </cell>
          <cell r="J119">
            <v>1292965.8999999999</v>
          </cell>
        </row>
        <row r="120">
          <cell r="C120">
            <v>232163</v>
          </cell>
          <cell r="D120">
            <v>32773.300000000003</v>
          </cell>
          <cell r="E120">
            <v>63120.1</v>
          </cell>
          <cell r="F120">
            <v>10486.3</v>
          </cell>
          <cell r="G120">
            <v>0</v>
          </cell>
          <cell r="H120">
            <v>338542.69999999995</v>
          </cell>
          <cell r="I120">
            <v>122264.4</v>
          </cell>
          <cell r="J120">
            <v>460807.1</v>
          </cell>
        </row>
        <row r="121">
          <cell r="C121">
            <v>0</v>
          </cell>
          <cell r="D121">
            <v>0</v>
          </cell>
          <cell r="E121">
            <v>3.8</v>
          </cell>
          <cell r="F121">
            <v>0</v>
          </cell>
          <cell r="G121">
            <v>0</v>
          </cell>
          <cell r="H121">
            <v>3.8</v>
          </cell>
          <cell r="I121">
            <v>73.7</v>
          </cell>
          <cell r="J121">
            <v>77.5</v>
          </cell>
        </row>
        <row r="122">
          <cell r="C122">
            <v>1161351.1000000001</v>
          </cell>
          <cell r="D122">
            <v>116.1</v>
          </cell>
          <cell r="E122">
            <v>95.8</v>
          </cell>
          <cell r="F122">
            <v>0</v>
          </cell>
          <cell r="G122">
            <v>0</v>
          </cell>
          <cell r="H122">
            <v>1161563.0000000002</v>
          </cell>
          <cell r="I122">
            <v>5201.8</v>
          </cell>
          <cell r="J122">
            <v>1166764.8000000003</v>
          </cell>
        </row>
        <row r="123">
          <cell r="C123">
            <v>1161351.1000000001</v>
          </cell>
          <cell r="D123">
            <v>0</v>
          </cell>
          <cell r="E123">
            <v>12.8</v>
          </cell>
          <cell r="F123">
            <v>0</v>
          </cell>
          <cell r="G123">
            <v>0</v>
          </cell>
          <cell r="H123">
            <v>1161363.9000000001</v>
          </cell>
          <cell r="I123">
            <v>5199.6000000000004</v>
          </cell>
          <cell r="J123">
            <v>1166563.5000000002</v>
          </cell>
        </row>
        <row r="124">
          <cell r="C124">
            <v>0</v>
          </cell>
          <cell r="D124">
            <v>116.1</v>
          </cell>
          <cell r="E124">
            <v>83</v>
          </cell>
          <cell r="F124">
            <v>0</v>
          </cell>
          <cell r="G124">
            <v>0</v>
          </cell>
          <cell r="H124">
            <v>199.1</v>
          </cell>
          <cell r="I124">
            <v>2.2000000000000002</v>
          </cell>
          <cell r="J124">
            <v>201.29999999999998</v>
          </cell>
        </row>
        <row r="125">
          <cell r="C125">
            <v>0</v>
          </cell>
          <cell r="D125">
            <v>308.3</v>
          </cell>
          <cell r="E125">
            <v>237360.6</v>
          </cell>
          <cell r="F125">
            <v>4096379.9</v>
          </cell>
          <cell r="G125">
            <v>134771.79999999999</v>
          </cell>
          <cell r="H125">
            <v>4468820.5999999996</v>
          </cell>
          <cell r="I125">
            <v>0</v>
          </cell>
          <cell r="J125">
            <v>4468820.5999999996</v>
          </cell>
        </row>
        <row r="126">
          <cell r="C126">
            <v>168.1</v>
          </cell>
          <cell r="D126">
            <v>20.7</v>
          </cell>
          <cell r="E126">
            <v>72.099999999999994</v>
          </cell>
          <cell r="F126">
            <v>0</v>
          </cell>
          <cell r="G126">
            <v>0</v>
          </cell>
          <cell r="H126">
            <v>260.89999999999998</v>
          </cell>
          <cell r="I126">
            <v>6424.6000000000013</v>
          </cell>
          <cell r="J126">
            <v>6685.5000000000009</v>
          </cell>
        </row>
        <row r="127">
          <cell r="C127">
            <v>1176538.4000000001</v>
          </cell>
          <cell r="D127">
            <v>17579.400000000001</v>
          </cell>
          <cell r="E127">
            <v>141183.4</v>
          </cell>
          <cell r="F127">
            <v>1002384.9</v>
          </cell>
          <cell r="G127">
            <v>0</v>
          </cell>
          <cell r="H127">
            <v>2337686.1</v>
          </cell>
          <cell r="I127">
            <v>784829.7</v>
          </cell>
          <cell r="J127">
            <v>3122515.8</v>
          </cell>
        </row>
        <row r="128">
          <cell r="C128">
            <v>694775.5</v>
          </cell>
          <cell r="D128">
            <v>4834.3</v>
          </cell>
          <cell r="E128">
            <v>139272</v>
          </cell>
          <cell r="F128">
            <v>995384.9</v>
          </cell>
          <cell r="G128">
            <v>0</v>
          </cell>
          <cell r="H128">
            <v>1834266.7000000002</v>
          </cell>
          <cell r="I128">
            <v>755678.9</v>
          </cell>
          <cell r="J128">
            <v>2589945.6</v>
          </cell>
        </row>
        <row r="129">
          <cell r="C129">
            <v>481751.10000000003</v>
          </cell>
          <cell r="D129">
            <v>2220.8000000000002</v>
          </cell>
          <cell r="E129">
            <v>1685.8</v>
          </cell>
          <cell r="F129">
            <v>7000</v>
          </cell>
          <cell r="G129">
            <v>0</v>
          </cell>
          <cell r="H129">
            <v>492657.7</v>
          </cell>
          <cell r="I129">
            <v>29044.699999999997</v>
          </cell>
          <cell r="J129">
            <v>521702.40000000002</v>
          </cell>
        </row>
        <row r="130">
          <cell r="C130">
            <v>137680.5</v>
          </cell>
          <cell r="D130">
            <v>1985</v>
          </cell>
          <cell r="E130">
            <v>1683.6</v>
          </cell>
          <cell r="F130">
            <v>7000</v>
          </cell>
          <cell r="G130">
            <v>0</v>
          </cell>
          <cell r="H130">
            <v>148349.1</v>
          </cell>
          <cell r="I130">
            <v>28885.899999999998</v>
          </cell>
          <cell r="J130">
            <v>177235</v>
          </cell>
        </row>
        <row r="131">
          <cell r="C131">
            <v>341229</v>
          </cell>
          <cell r="D131">
            <v>0</v>
          </cell>
          <cell r="E131">
            <v>2.2000000000000002</v>
          </cell>
          <cell r="F131">
            <v>0</v>
          </cell>
          <cell r="G131">
            <v>0</v>
          </cell>
          <cell r="H131">
            <v>341231.2</v>
          </cell>
          <cell r="I131">
            <v>0</v>
          </cell>
          <cell r="J131">
            <v>341231.2</v>
          </cell>
        </row>
        <row r="132">
          <cell r="C132">
            <v>2841.6000000000204</v>
          </cell>
          <cell r="D132">
            <v>235.8</v>
          </cell>
          <cell r="E132">
            <v>0</v>
          </cell>
          <cell r="F132">
            <v>0</v>
          </cell>
          <cell r="G132">
            <v>0</v>
          </cell>
          <cell r="H132">
            <v>3077.4000000000206</v>
          </cell>
          <cell r="I132">
            <v>158.80000000000001</v>
          </cell>
          <cell r="J132">
            <v>3236.2000000000207</v>
          </cell>
        </row>
        <row r="133">
          <cell r="C133">
            <v>11.8</v>
          </cell>
          <cell r="D133">
            <v>10524.3</v>
          </cell>
          <cell r="E133">
            <v>225.6</v>
          </cell>
          <cell r="F133">
            <v>0</v>
          </cell>
          <cell r="G133">
            <v>0</v>
          </cell>
          <cell r="H133">
            <v>10761.699999999999</v>
          </cell>
          <cell r="I133">
            <v>106.10000000000001</v>
          </cell>
          <cell r="J133">
            <v>10867.8</v>
          </cell>
        </row>
        <row r="134">
          <cell r="C134">
            <v>0</v>
          </cell>
          <cell r="D134">
            <v>0</v>
          </cell>
          <cell r="E134">
            <v>0</v>
          </cell>
          <cell r="F134">
            <v>0</v>
          </cell>
          <cell r="G134">
            <v>0</v>
          </cell>
          <cell r="H134">
            <v>0</v>
          </cell>
          <cell r="I134">
            <v>0</v>
          </cell>
          <cell r="J134">
            <v>0</v>
          </cell>
        </row>
        <row r="135">
          <cell r="C135">
            <v>0</v>
          </cell>
          <cell r="D135">
            <v>0</v>
          </cell>
          <cell r="E135">
            <v>0</v>
          </cell>
          <cell r="F135">
            <v>0</v>
          </cell>
          <cell r="G135">
            <v>0</v>
          </cell>
          <cell r="H135">
            <v>0</v>
          </cell>
          <cell r="I135">
            <v>244840.9</v>
          </cell>
          <cell r="J135">
            <v>244840.9</v>
          </cell>
        </row>
        <row r="137">
          <cell r="C137">
            <v>1037913.5999999996</v>
          </cell>
          <cell r="D137">
            <v>146525.70000000007</v>
          </cell>
          <cell r="E137">
            <v>-386682.89999999997</v>
          </cell>
          <cell r="F137">
            <v>65735.900000000373</v>
          </cell>
          <cell r="G137">
            <v>-131394</v>
          </cell>
          <cell r="H137">
            <v>732098.30000000028</v>
          </cell>
          <cell r="I137">
            <v>-129864.69999999995</v>
          </cell>
          <cell r="J137">
            <v>602233.60000000033</v>
          </cell>
        </row>
        <row r="139">
          <cell r="C139">
            <v>335.5</v>
          </cell>
          <cell r="D139">
            <v>0</v>
          </cell>
          <cell r="E139">
            <v>20.800000000000182</v>
          </cell>
          <cell r="F139">
            <v>0</v>
          </cell>
          <cell r="G139">
            <v>0</v>
          </cell>
          <cell r="H139">
            <v>356.30000000000018</v>
          </cell>
          <cell r="I139">
            <v>0</v>
          </cell>
          <cell r="J139">
            <v>356.30000000000018</v>
          </cell>
        </row>
        <row r="141">
          <cell r="C141">
            <v>25201.200000000004</v>
          </cell>
          <cell r="D141">
            <v>18876.5</v>
          </cell>
          <cell r="E141">
            <v>16381.900000000001</v>
          </cell>
          <cell r="F141">
            <v>30.4</v>
          </cell>
          <cell r="G141">
            <v>0</v>
          </cell>
          <cell r="H141">
            <v>60490.000000000007</v>
          </cell>
          <cell r="I141">
            <v>151799.4</v>
          </cell>
          <cell r="J141">
            <v>212289.4</v>
          </cell>
        </row>
        <row r="142">
          <cell r="C142">
            <v>23786</v>
          </cell>
          <cell r="D142">
            <v>13117.7</v>
          </cell>
          <cell r="E142">
            <v>15511.2</v>
          </cell>
          <cell r="F142">
            <v>30.4</v>
          </cell>
          <cell r="G142">
            <v>0</v>
          </cell>
          <cell r="H142">
            <v>52445.299999999996</v>
          </cell>
          <cell r="I142">
            <v>135582</v>
          </cell>
          <cell r="J142">
            <v>188027.3</v>
          </cell>
        </row>
        <row r="143">
          <cell r="C143">
            <v>1408.9000000000044</v>
          </cell>
          <cell r="D143">
            <v>5758.8</v>
          </cell>
          <cell r="E143">
            <v>736.7</v>
          </cell>
          <cell r="F143">
            <v>0</v>
          </cell>
          <cell r="G143">
            <v>0</v>
          </cell>
          <cell r="H143">
            <v>7904.4000000000042</v>
          </cell>
          <cell r="I143">
            <v>16217.4</v>
          </cell>
          <cell r="J143">
            <v>24121.800000000003</v>
          </cell>
        </row>
        <row r="144">
          <cell r="C144">
            <v>990.7</v>
          </cell>
          <cell r="D144">
            <v>4973.3</v>
          </cell>
          <cell r="E144">
            <v>0</v>
          </cell>
          <cell r="F144">
            <v>0</v>
          </cell>
          <cell r="G144">
            <v>0</v>
          </cell>
          <cell r="H144">
            <v>5964</v>
          </cell>
          <cell r="I144">
            <v>7166.6</v>
          </cell>
          <cell r="J144">
            <v>13130.6</v>
          </cell>
        </row>
        <row r="145">
          <cell r="C145">
            <v>418.20000000000437</v>
          </cell>
          <cell r="D145">
            <v>785.5</v>
          </cell>
          <cell r="E145">
            <v>736.7</v>
          </cell>
          <cell r="F145">
            <v>0</v>
          </cell>
          <cell r="G145">
            <v>0</v>
          </cell>
          <cell r="H145">
            <v>1940.4000000000044</v>
          </cell>
          <cell r="I145">
            <v>9050.7999999999993</v>
          </cell>
          <cell r="J145">
            <v>10991.200000000004</v>
          </cell>
        </row>
        <row r="146">
          <cell r="C146">
            <v>6.3</v>
          </cell>
          <cell r="D146">
            <v>0</v>
          </cell>
          <cell r="E146">
            <v>134</v>
          </cell>
          <cell r="F146">
            <v>0</v>
          </cell>
          <cell r="G146">
            <v>0</v>
          </cell>
          <cell r="H146">
            <v>140.30000000000001</v>
          </cell>
          <cell r="I146">
            <v>0</v>
          </cell>
          <cell r="J146">
            <v>140.30000000000001</v>
          </cell>
        </row>
        <row r="147">
          <cell r="C147">
            <v>0</v>
          </cell>
          <cell r="D147">
            <v>0</v>
          </cell>
          <cell r="E147">
            <v>0</v>
          </cell>
          <cell r="F147">
            <v>0</v>
          </cell>
          <cell r="G147">
            <v>0</v>
          </cell>
          <cell r="H147">
            <v>0</v>
          </cell>
          <cell r="I147">
            <v>0</v>
          </cell>
          <cell r="J147">
            <v>0</v>
          </cell>
        </row>
        <row r="148">
          <cell r="C148">
            <v>6.3</v>
          </cell>
          <cell r="D148">
            <v>0</v>
          </cell>
          <cell r="E148">
            <v>134</v>
          </cell>
          <cell r="F148">
            <v>0</v>
          </cell>
          <cell r="G148">
            <v>0</v>
          </cell>
          <cell r="H148">
            <v>140.30000000000001</v>
          </cell>
          <cell r="I148">
            <v>0</v>
          </cell>
          <cell r="J148">
            <v>140.30000000000001</v>
          </cell>
        </row>
        <row r="150">
          <cell r="C150">
            <v>4284257.8</v>
          </cell>
          <cell r="D150">
            <v>362879.60000000009</v>
          </cell>
          <cell r="E150">
            <v>239634.19999999995</v>
          </cell>
          <cell r="F150">
            <v>5237020.6000000006</v>
          </cell>
          <cell r="G150">
            <v>3377.8</v>
          </cell>
          <cell r="H150">
            <v>10127170.000000002</v>
          </cell>
          <cell r="I150">
            <v>1238897.9999999998</v>
          </cell>
          <cell r="J150">
            <v>11366068.000000002</v>
          </cell>
        </row>
        <row r="151">
          <cell r="C151">
            <v>3271209.9000000004</v>
          </cell>
          <cell r="D151">
            <v>235230.40000000002</v>
          </cell>
          <cell r="E151">
            <v>642678.19999999995</v>
          </cell>
          <cell r="F151">
            <v>5171315.1000000006</v>
          </cell>
          <cell r="G151">
            <v>134771.79999999999</v>
          </cell>
          <cell r="H151">
            <v>9455205.4000000022</v>
          </cell>
          <cell r="I151">
            <v>1520562.0999999996</v>
          </cell>
          <cell r="J151">
            <v>10975767.500000002</v>
          </cell>
        </row>
        <row r="152">
          <cell r="C152">
            <v>1013047.8999999994</v>
          </cell>
          <cell r="D152">
            <v>127649.20000000007</v>
          </cell>
          <cell r="E152">
            <v>-403044</v>
          </cell>
          <cell r="F152">
            <v>65705.5</v>
          </cell>
          <cell r="G152">
            <v>-131394</v>
          </cell>
          <cell r="H152">
            <v>671964.59999999963</v>
          </cell>
          <cell r="I152">
            <v>-281664.09999999986</v>
          </cell>
          <cell r="J152">
            <v>390300.49999999977</v>
          </cell>
        </row>
        <row r="154">
          <cell r="C154">
            <v>0</v>
          </cell>
          <cell r="D154">
            <v>6348.3</v>
          </cell>
          <cell r="E154">
            <v>567633.6</v>
          </cell>
          <cell r="F154">
            <v>358448.4</v>
          </cell>
          <cell r="G154">
            <v>131394</v>
          </cell>
          <cell r="H154">
            <v>1063824.3</v>
          </cell>
          <cell r="I154">
            <v>617375.19999999995</v>
          </cell>
          <cell r="J154">
            <v>1681199.5</v>
          </cell>
        </row>
        <row r="155">
          <cell r="C155">
            <v>0</v>
          </cell>
          <cell r="D155">
            <v>0</v>
          </cell>
          <cell r="E155">
            <v>240412.40000000002</v>
          </cell>
          <cell r="F155">
            <v>138606</v>
          </cell>
          <cell r="G155">
            <v>131394</v>
          </cell>
          <cell r="H155">
            <v>510412.4</v>
          </cell>
          <cell r="I155">
            <v>434102.99999999994</v>
          </cell>
          <cell r="J155">
            <v>944515.39999999991</v>
          </cell>
        </row>
        <row r="156">
          <cell r="C156">
            <v>0</v>
          </cell>
          <cell r="D156">
            <v>6348.3</v>
          </cell>
          <cell r="E156">
            <v>1376.5</v>
          </cell>
          <cell r="F156">
            <v>0</v>
          </cell>
          <cell r="G156">
            <v>0</v>
          </cell>
          <cell r="H156">
            <v>7724.8</v>
          </cell>
          <cell r="I156">
            <v>24896.2</v>
          </cell>
          <cell r="J156">
            <v>32621</v>
          </cell>
        </row>
        <row r="157">
          <cell r="C157">
            <v>0</v>
          </cell>
          <cell r="D157">
            <v>0</v>
          </cell>
          <cell r="E157">
            <v>22.5</v>
          </cell>
          <cell r="F157">
            <v>0</v>
          </cell>
          <cell r="G157">
            <v>0</v>
          </cell>
          <cell r="H157">
            <v>22.5</v>
          </cell>
          <cell r="I157">
            <v>0</v>
          </cell>
          <cell r="J157">
            <v>22.5</v>
          </cell>
        </row>
        <row r="158">
          <cell r="C158">
            <v>0</v>
          </cell>
          <cell r="D158">
            <v>0</v>
          </cell>
          <cell r="E158">
            <v>320668.5</v>
          </cell>
          <cell r="F158">
            <v>219842.4</v>
          </cell>
          <cell r="G158">
            <v>0</v>
          </cell>
          <cell r="H158">
            <v>540510.9</v>
          </cell>
          <cell r="I158">
            <v>158376</v>
          </cell>
          <cell r="J158">
            <v>698886.9</v>
          </cell>
        </row>
        <row r="159">
          <cell r="C159">
            <v>0</v>
          </cell>
          <cell r="D159">
            <v>0</v>
          </cell>
          <cell r="E159">
            <v>0</v>
          </cell>
          <cell r="F159">
            <v>0</v>
          </cell>
          <cell r="G159">
            <v>0</v>
          </cell>
          <cell r="H159">
            <v>0</v>
          </cell>
          <cell r="I159">
            <v>0</v>
          </cell>
          <cell r="J159">
            <v>0</v>
          </cell>
        </row>
        <row r="160">
          <cell r="C160">
            <v>0</v>
          </cell>
          <cell r="D160">
            <v>0</v>
          </cell>
          <cell r="E160">
            <v>5153.7</v>
          </cell>
          <cell r="F160">
            <v>0</v>
          </cell>
          <cell r="G160">
            <v>0</v>
          </cell>
          <cell r="H160">
            <v>5153.7</v>
          </cell>
          <cell r="I160">
            <v>0</v>
          </cell>
          <cell r="J160">
            <v>5153.7</v>
          </cell>
        </row>
        <row r="161">
          <cell r="C161">
            <v>944515.39999999991</v>
          </cell>
          <cell r="D161">
            <v>32621</v>
          </cell>
          <cell r="E161">
            <v>22.5</v>
          </cell>
          <cell r="F161">
            <v>698886.9</v>
          </cell>
          <cell r="G161">
            <v>0</v>
          </cell>
          <cell r="H161">
            <v>1676045.7999999998</v>
          </cell>
          <cell r="I161">
            <v>5153.7</v>
          </cell>
          <cell r="J161">
            <v>1681199.4999999998</v>
          </cell>
        </row>
        <row r="163">
          <cell r="C163">
            <v>4284257.8</v>
          </cell>
          <cell r="D163">
            <v>369227.90000000008</v>
          </cell>
          <cell r="E163">
            <v>807267.79999999993</v>
          </cell>
          <cell r="F163">
            <v>5595469.0000000009</v>
          </cell>
          <cell r="G163">
            <v>134771.79999999999</v>
          </cell>
          <cell r="H163">
            <v>11190994.300000001</v>
          </cell>
          <cell r="I163">
            <v>1856273.1999999997</v>
          </cell>
          <cell r="J163">
            <v>13047267.5</v>
          </cell>
        </row>
        <row r="164">
          <cell r="C164">
            <v>3054374.2000000007</v>
          </cell>
          <cell r="D164">
            <v>267851.40000000002</v>
          </cell>
          <cell r="E164">
            <v>642687.89999999991</v>
          </cell>
          <cell r="F164">
            <v>5870202.0000000009</v>
          </cell>
          <cell r="G164">
            <v>134771.79999999999</v>
          </cell>
          <cell r="H164">
            <v>9969887.3000000026</v>
          </cell>
          <cell r="I164">
            <v>1520516.1999999995</v>
          </cell>
          <cell r="J164">
            <v>11490403.500000002</v>
          </cell>
        </row>
        <row r="165">
          <cell r="C165">
            <v>4215725.3000000007</v>
          </cell>
          <cell r="D165">
            <v>267851.40000000002</v>
          </cell>
          <cell r="E165">
            <v>642700.69999999995</v>
          </cell>
          <cell r="F165">
            <v>5870202.0000000009</v>
          </cell>
          <cell r="G165">
            <v>134771.79999999999</v>
          </cell>
          <cell r="H165">
            <v>11131251.200000003</v>
          </cell>
          <cell r="I165">
            <v>1525715.7999999996</v>
          </cell>
          <cell r="J165">
            <v>12656967.000000002</v>
          </cell>
        </row>
        <row r="166">
          <cell r="C166">
            <v>1229883.5999999992</v>
          </cell>
          <cell r="D166">
            <v>101376.50000000006</v>
          </cell>
          <cell r="E166">
            <v>164579.90000000002</v>
          </cell>
          <cell r="F166">
            <v>-274733</v>
          </cell>
          <cell r="G166">
            <v>0</v>
          </cell>
          <cell r="H166">
            <v>1221106.9999999991</v>
          </cell>
          <cell r="I166">
            <v>335757.00000000023</v>
          </cell>
          <cell r="J166">
            <v>1556863.9999999993</v>
          </cell>
        </row>
        <row r="167">
          <cell r="C167">
            <v>68532.499999999069</v>
          </cell>
          <cell r="D167">
            <v>101376.50000000006</v>
          </cell>
          <cell r="E167">
            <v>164567.09999999998</v>
          </cell>
          <cell r="F167">
            <v>-274733</v>
          </cell>
          <cell r="G167">
            <v>0</v>
          </cell>
          <cell r="H167">
            <v>59743.099999999104</v>
          </cell>
          <cell r="I167">
            <v>330557.40000000014</v>
          </cell>
          <cell r="J167">
            <v>390300.49999999924</v>
          </cell>
        </row>
        <row r="169">
          <cell r="C169">
            <v>0</v>
          </cell>
          <cell r="D169">
            <v>0</v>
          </cell>
          <cell r="E169">
            <v>0</v>
          </cell>
          <cell r="F169">
            <v>0</v>
          </cell>
          <cell r="G169">
            <v>0</v>
          </cell>
          <cell r="H169">
            <v>0</v>
          </cell>
          <cell r="I169">
            <v>0</v>
          </cell>
          <cell r="J169">
            <v>0</v>
          </cell>
        </row>
        <row r="170">
          <cell r="C170">
            <v>0</v>
          </cell>
          <cell r="D170">
            <v>0</v>
          </cell>
          <cell r="E170">
            <v>31.4</v>
          </cell>
          <cell r="F170">
            <v>2508.5</v>
          </cell>
          <cell r="G170">
            <v>0</v>
          </cell>
          <cell r="H170">
            <v>2539.9</v>
          </cell>
          <cell r="I170">
            <v>0</v>
          </cell>
          <cell r="J170">
            <v>2539.9</v>
          </cell>
        </row>
        <row r="171">
          <cell r="C171">
            <v>1992.5</v>
          </cell>
          <cell r="D171">
            <v>0</v>
          </cell>
          <cell r="E171">
            <v>0</v>
          </cell>
          <cell r="F171">
            <v>0</v>
          </cell>
          <cell r="G171">
            <v>0</v>
          </cell>
          <cell r="H171">
            <v>1992.5</v>
          </cell>
          <cell r="I171">
            <v>547.4</v>
          </cell>
          <cell r="J171">
            <v>2539.9</v>
          </cell>
        </row>
      </sheetData>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4140625" defaultRowHeight="15.6" outlineLevelRow="2"/>
  <cols>
    <col min="1" max="1" width="4.6640625" style="10" customWidth="1"/>
    <col min="2" max="2" width="4.5546875" style="10" customWidth="1"/>
    <col min="3" max="3" width="4.44140625" style="10" customWidth="1"/>
    <col min="4" max="4" width="4" style="12" customWidth="1"/>
    <col min="5" max="5" width="2.44140625" style="13" customWidth="1"/>
    <col min="6" max="6" width="46.109375" style="14" customWidth="1"/>
    <col min="7" max="7" width="12.109375" style="14" customWidth="1"/>
    <col min="8" max="8" width="12.109375" style="74" customWidth="1"/>
    <col min="9" max="10" width="12.109375" style="14" customWidth="1"/>
    <col min="11" max="11" width="2.88671875" style="14" customWidth="1"/>
    <col min="12" max="12" width="12.109375" style="14" customWidth="1"/>
    <col min="13" max="13" width="12.109375" style="47" customWidth="1"/>
    <col min="14" max="15" width="12.109375" style="14" customWidth="1"/>
    <col min="16" max="16" width="12.44140625" style="10"/>
    <col min="17" max="17" width="13.33203125" style="10" bestFit="1" customWidth="1"/>
    <col min="18" max="243" width="12.44140625" style="10"/>
    <col min="244" max="244" width="4.6640625" style="10" customWidth="1"/>
    <col min="245" max="245" width="4.5546875" style="10" customWidth="1"/>
    <col min="246" max="246" width="4.44140625" style="10" customWidth="1"/>
    <col min="247" max="247" width="4" style="10" customWidth="1"/>
    <col min="248" max="248" width="2.44140625" style="10" customWidth="1"/>
    <col min="249" max="249" width="46.109375" style="10" customWidth="1"/>
    <col min="250" max="251" width="12.5546875" style="10" customWidth="1"/>
    <col min="252" max="252" width="11.109375" style="10" customWidth="1"/>
    <col min="253" max="253" width="12.109375" style="10" customWidth="1"/>
    <col min="254" max="254" width="2.88671875" style="10" customWidth="1"/>
    <col min="255" max="255" width="12.5546875" style="10" customWidth="1"/>
    <col min="256" max="256" width="12.44140625" style="10" customWidth="1"/>
    <col min="257" max="257" width="11.109375" style="10" customWidth="1"/>
    <col min="258" max="258" width="12.88671875" style="10" customWidth="1"/>
    <col min="259" max="259" width="12.44140625" style="10" customWidth="1"/>
    <col min="260" max="499" width="12.44140625" style="10"/>
    <col min="500" max="500" width="4.6640625" style="10" customWidth="1"/>
    <col min="501" max="501" width="4.5546875" style="10" customWidth="1"/>
    <col min="502" max="502" width="4.44140625" style="10" customWidth="1"/>
    <col min="503" max="503" width="4" style="10" customWidth="1"/>
    <col min="504" max="504" width="2.44140625" style="10" customWidth="1"/>
    <col min="505" max="505" width="46.109375" style="10" customWidth="1"/>
    <col min="506" max="507" width="12.5546875" style="10" customWidth="1"/>
    <col min="508" max="508" width="11.109375" style="10" customWidth="1"/>
    <col min="509" max="509" width="12.109375" style="10" customWidth="1"/>
    <col min="510" max="510" width="2.88671875" style="10" customWidth="1"/>
    <col min="511" max="511" width="12.5546875" style="10" customWidth="1"/>
    <col min="512" max="512" width="12.44140625" style="10" customWidth="1"/>
    <col min="513" max="513" width="11.109375" style="10" customWidth="1"/>
    <col min="514" max="514" width="12.88671875" style="10" customWidth="1"/>
    <col min="515" max="515" width="12.44140625" style="10" customWidth="1"/>
    <col min="516" max="755" width="12.44140625" style="10"/>
    <col min="756" max="756" width="4.6640625" style="10" customWidth="1"/>
    <col min="757" max="757" width="4.5546875" style="10" customWidth="1"/>
    <col min="758" max="758" width="4.44140625" style="10" customWidth="1"/>
    <col min="759" max="759" width="4" style="10" customWidth="1"/>
    <col min="760" max="760" width="2.44140625" style="10" customWidth="1"/>
    <col min="761" max="761" width="46.109375" style="10" customWidth="1"/>
    <col min="762" max="763" width="12.5546875" style="10" customWidth="1"/>
    <col min="764" max="764" width="11.109375" style="10" customWidth="1"/>
    <col min="765" max="765" width="12.109375" style="10" customWidth="1"/>
    <col min="766" max="766" width="2.88671875" style="10" customWidth="1"/>
    <col min="767" max="767" width="12.5546875" style="10" customWidth="1"/>
    <col min="768" max="768" width="12.44140625" style="10" customWidth="1"/>
    <col min="769" max="769" width="11.109375" style="10" customWidth="1"/>
    <col min="770" max="770" width="12.88671875" style="10" customWidth="1"/>
    <col min="771" max="771" width="12.44140625" style="10" customWidth="1"/>
    <col min="772" max="1011" width="12.44140625" style="10"/>
    <col min="1012" max="1012" width="4.6640625" style="10" customWidth="1"/>
    <col min="1013" max="1013" width="4.5546875" style="10" customWidth="1"/>
    <col min="1014" max="1014" width="4.44140625" style="10" customWidth="1"/>
    <col min="1015" max="1015" width="4" style="10" customWidth="1"/>
    <col min="1016" max="1016" width="2.44140625" style="10" customWidth="1"/>
    <col min="1017" max="1017" width="46.109375" style="10" customWidth="1"/>
    <col min="1018" max="1019" width="12.5546875" style="10" customWidth="1"/>
    <col min="1020" max="1020" width="11.109375" style="10" customWidth="1"/>
    <col min="1021" max="1021" width="12.109375" style="10" customWidth="1"/>
    <col min="1022" max="1022" width="2.88671875" style="10" customWidth="1"/>
    <col min="1023" max="1023" width="12.5546875" style="10" customWidth="1"/>
    <col min="1024" max="1024" width="12.44140625" style="10" customWidth="1"/>
    <col min="1025" max="1025" width="11.109375" style="10" customWidth="1"/>
    <col min="1026" max="1026" width="12.88671875" style="10" customWidth="1"/>
    <col min="1027" max="1027" width="12.44140625" style="10" customWidth="1"/>
    <col min="1028" max="1267" width="12.44140625" style="10"/>
    <col min="1268" max="1268" width="4.6640625" style="10" customWidth="1"/>
    <col min="1269" max="1269" width="4.5546875" style="10" customWidth="1"/>
    <col min="1270" max="1270" width="4.44140625" style="10" customWidth="1"/>
    <col min="1271" max="1271" width="4" style="10" customWidth="1"/>
    <col min="1272" max="1272" width="2.44140625" style="10" customWidth="1"/>
    <col min="1273" max="1273" width="46.109375" style="10" customWidth="1"/>
    <col min="1274" max="1275" width="12.5546875" style="10" customWidth="1"/>
    <col min="1276" max="1276" width="11.109375" style="10" customWidth="1"/>
    <col min="1277" max="1277" width="12.109375" style="10" customWidth="1"/>
    <col min="1278" max="1278" width="2.88671875" style="10" customWidth="1"/>
    <col min="1279" max="1279" width="12.5546875" style="10" customWidth="1"/>
    <col min="1280" max="1280" width="12.44140625" style="10" customWidth="1"/>
    <col min="1281" max="1281" width="11.109375" style="10" customWidth="1"/>
    <col min="1282" max="1282" width="12.88671875" style="10" customWidth="1"/>
    <col min="1283" max="1283" width="12.44140625" style="10" customWidth="1"/>
    <col min="1284" max="1523" width="12.44140625" style="10"/>
    <col min="1524" max="1524" width="4.6640625" style="10" customWidth="1"/>
    <col min="1525" max="1525" width="4.5546875" style="10" customWidth="1"/>
    <col min="1526" max="1526" width="4.44140625" style="10" customWidth="1"/>
    <col min="1527" max="1527" width="4" style="10" customWidth="1"/>
    <col min="1528" max="1528" width="2.44140625" style="10" customWidth="1"/>
    <col min="1529" max="1529" width="46.109375" style="10" customWidth="1"/>
    <col min="1530" max="1531" width="12.5546875" style="10" customWidth="1"/>
    <col min="1532" max="1532" width="11.109375" style="10" customWidth="1"/>
    <col min="1533" max="1533" width="12.109375" style="10" customWidth="1"/>
    <col min="1534" max="1534" width="2.88671875" style="10" customWidth="1"/>
    <col min="1535" max="1535" width="12.5546875" style="10" customWidth="1"/>
    <col min="1536" max="1536" width="12.44140625" style="10" customWidth="1"/>
    <col min="1537" max="1537" width="11.109375" style="10" customWidth="1"/>
    <col min="1538" max="1538" width="12.88671875" style="10" customWidth="1"/>
    <col min="1539" max="1539" width="12.44140625" style="10" customWidth="1"/>
    <col min="1540" max="1779" width="12.44140625" style="10"/>
    <col min="1780" max="1780" width="4.6640625" style="10" customWidth="1"/>
    <col min="1781" max="1781" width="4.5546875" style="10" customWidth="1"/>
    <col min="1782" max="1782" width="4.44140625" style="10" customWidth="1"/>
    <col min="1783" max="1783" width="4" style="10" customWidth="1"/>
    <col min="1784" max="1784" width="2.44140625" style="10" customWidth="1"/>
    <col min="1785" max="1785" width="46.109375" style="10" customWidth="1"/>
    <col min="1786" max="1787" width="12.5546875" style="10" customWidth="1"/>
    <col min="1788" max="1788" width="11.109375" style="10" customWidth="1"/>
    <col min="1789" max="1789" width="12.109375" style="10" customWidth="1"/>
    <col min="1790" max="1790" width="2.88671875" style="10" customWidth="1"/>
    <col min="1791" max="1791" width="12.5546875" style="10" customWidth="1"/>
    <col min="1792" max="1792" width="12.44140625" style="10" customWidth="1"/>
    <col min="1793" max="1793" width="11.109375" style="10" customWidth="1"/>
    <col min="1794" max="1794" width="12.88671875" style="10" customWidth="1"/>
    <col min="1795" max="1795" width="12.44140625" style="10" customWidth="1"/>
    <col min="1796" max="2035" width="12.44140625" style="10"/>
    <col min="2036" max="2036" width="4.6640625" style="10" customWidth="1"/>
    <col min="2037" max="2037" width="4.5546875" style="10" customWidth="1"/>
    <col min="2038" max="2038" width="4.44140625" style="10" customWidth="1"/>
    <col min="2039" max="2039" width="4" style="10" customWidth="1"/>
    <col min="2040" max="2040" width="2.44140625" style="10" customWidth="1"/>
    <col min="2041" max="2041" width="46.109375" style="10" customWidth="1"/>
    <col min="2042" max="2043" width="12.5546875" style="10" customWidth="1"/>
    <col min="2044" max="2044" width="11.109375" style="10" customWidth="1"/>
    <col min="2045" max="2045" width="12.109375" style="10" customWidth="1"/>
    <col min="2046" max="2046" width="2.88671875" style="10" customWidth="1"/>
    <col min="2047" max="2047" width="12.5546875" style="10" customWidth="1"/>
    <col min="2048" max="2048" width="12.44140625" style="10" customWidth="1"/>
    <col min="2049" max="2049" width="11.109375" style="10" customWidth="1"/>
    <col min="2050" max="2050" width="12.88671875" style="10" customWidth="1"/>
    <col min="2051" max="2051" width="12.44140625" style="10" customWidth="1"/>
    <col min="2052" max="2291" width="12.44140625" style="10"/>
    <col min="2292" max="2292" width="4.6640625" style="10" customWidth="1"/>
    <col min="2293" max="2293" width="4.5546875" style="10" customWidth="1"/>
    <col min="2294" max="2294" width="4.44140625" style="10" customWidth="1"/>
    <col min="2295" max="2295" width="4" style="10" customWidth="1"/>
    <col min="2296" max="2296" width="2.44140625" style="10" customWidth="1"/>
    <col min="2297" max="2297" width="46.109375" style="10" customWidth="1"/>
    <col min="2298" max="2299" width="12.5546875" style="10" customWidth="1"/>
    <col min="2300" max="2300" width="11.109375" style="10" customWidth="1"/>
    <col min="2301" max="2301" width="12.109375" style="10" customWidth="1"/>
    <col min="2302" max="2302" width="2.88671875" style="10" customWidth="1"/>
    <col min="2303" max="2303" width="12.5546875" style="10" customWidth="1"/>
    <col min="2304" max="2304" width="12.44140625" style="10" customWidth="1"/>
    <col min="2305" max="2305" width="11.109375" style="10" customWidth="1"/>
    <col min="2306" max="2306" width="12.88671875" style="10" customWidth="1"/>
    <col min="2307" max="2307" width="12.44140625" style="10" customWidth="1"/>
    <col min="2308" max="2547" width="12.44140625" style="10"/>
    <col min="2548" max="2548" width="4.6640625" style="10" customWidth="1"/>
    <col min="2549" max="2549" width="4.5546875" style="10" customWidth="1"/>
    <col min="2550" max="2550" width="4.44140625" style="10" customWidth="1"/>
    <col min="2551" max="2551" width="4" style="10" customWidth="1"/>
    <col min="2552" max="2552" width="2.44140625" style="10" customWidth="1"/>
    <col min="2553" max="2553" width="46.109375" style="10" customWidth="1"/>
    <col min="2554" max="2555" width="12.5546875" style="10" customWidth="1"/>
    <col min="2556" max="2556" width="11.109375" style="10" customWidth="1"/>
    <col min="2557" max="2557" width="12.109375" style="10" customWidth="1"/>
    <col min="2558" max="2558" width="2.88671875" style="10" customWidth="1"/>
    <col min="2559" max="2559" width="12.5546875" style="10" customWidth="1"/>
    <col min="2560" max="2560" width="12.44140625" style="10" customWidth="1"/>
    <col min="2561" max="2561" width="11.109375" style="10" customWidth="1"/>
    <col min="2562" max="2562" width="12.88671875" style="10" customWidth="1"/>
    <col min="2563" max="2563" width="12.44140625" style="10" customWidth="1"/>
    <col min="2564" max="2803" width="12.44140625" style="10"/>
    <col min="2804" max="2804" width="4.6640625" style="10" customWidth="1"/>
    <col min="2805" max="2805" width="4.5546875" style="10" customWidth="1"/>
    <col min="2806" max="2806" width="4.44140625" style="10" customWidth="1"/>
    <col min="2807" max="2807" width="4" style="10" customWidth="1"/>
    <col min="2808" max="2808" width="2.44140625" style="10" customWidth="1"/>
    <col min="2809" max="2809" width="46.109375" style="10" customWidth="1"/>
    <col min="2810" max="2811" width="12.5546875" style="10" customWidth="1"/>
    <col min="2812" max="2812" width="11.109375" style="10" customWidth="1"/>
    <col min="2813" max="2813" width="12.109375" style="10" customWidth="1"/>
    <col min="2814" max="2814" width="2.88671875" style="10" customWidth="1"/>
    <col min="2815" max="2815" width="12.5546875" style="10" customWidth="1"/>
    <col min="2816" max="2816" width="12.44140625" style="10" customWidth="1"/>
    <col min="2817" max="2817" width="11.109375" style="10" customWidth="1"/>
    <col min="2818" max="2818" width="12.88671875" style="10" customWidth="1"/>
    <col min="2819" max="2819" width="12.44140625" style="10" customWidth="1"/>
    <col min="2820" max="3059" width="12.44140625" style="10"/>
    <col min="3060" max="3060" width="4.6640625" style="10" customWidth="1"/>
    <col min="3061" max="3061" width="4.5546875" style="10" customWidth="1"/>
    <col min="3062" max="3062" width="4.44140625" style="10" customWidth="1"/>
    <col min="3063" max="3063" width="4" style="10" customWidth="1"/>
    <col min="3064" max="3064" width="2.44140625" style="10" customWidth="1"/>
    <col min="3065" max="3065" width="46.109375" style="10" customWidth="1"/>
    <col min="3066" max="3067" width="12.5546875" style="10" customWidth="1"/>
    <col min="3068" max="3068" width="11.109375" style="10" customWidth="1"/>
    <col min="3069" max="3069" width="12.109375" style="10" customWidth="1"/>
    <col min="3070" max="3070" width="2.88671875" style="10" customWidth="1"/>
    <col min="3071" max="3071" width="12.5546875" style="10" customWidth="1"/>
    <col min="3072" max="3072" width="12.44140625" style="10" customWidth="1"/>
    <col min="3073" max="3073" width="11.109375" style="10" customWidth="1"/>
    <col min="3074" max="3074" width="12.88671875" style="10" customWidth="1"/>
    <col min="3075" max="3075" width="12.44140625" style="10" customWidth="1"/>
    <col min="3076" max="3315" width="12.44140625" style="10"/>
    <col min="3316" max="3316" width="4.6640625" style="10" customWidth="1"/>
    <col min="3317" max="3317" width="4.5546875" style="10" customWidth="1"/>
    <col min="3318" max="3318" width="4.44140625" style="10" customWidth="1"/>
    <col min="3319" max="3319" width="4" style="10" customWidth="1"/>
    <col min="3320" max="3320" width="2.44140625" style="10" customWidth="1"/>
    <col min="3321" max="3321" width="46.109375" style="10" customWidth="1"/>
    <col min="3322" max="3323" width="12.5546875" style="10" customWidth="1"/>
    <col min="3324" max="3324" width="11.109375" style="10" customWidth="1"/>
    <col min="3325" max="3325" width="12.109375" style="10" customWidth="1"/>
    <col min="3326" max="3326" width="2.88671875" style="10" customWidth="1"/>
    <col min="3327" max="3327" width="12.5546875" style="10" customWidth="1"/>
    <col min="3328" max="3328" width="12.44140625" style="10" customWidth="1"/>
    <col min="3329" max="3329" width="11.109375" style="10" customWidth="1"/>
    <col min="3330" max="3330" width="12.88671875" style="10" customWidth="1"/>
    <col min="3331" max="3331" width="12.44140625" style="10" customWidth="1"/>
    <col min="3332" max="3571" width="12.44140625" style="10"/>
    <col min="3572" max="3572" width="4.6640625" style="10" customWidth="1"/>
    <col min="3573" max="3573" width="4.5546875" style="10" customWidth="1"/>
    <col min="3574" max="3574" width="4.44140625" style="10" customWidth="1"/>
    <col min="3575" max="3575" width="4" style="10" customWidth="1"/>
    <col min="3576" max="3576" width="2.44140625" style="10" customWidth="1"/>
    <col min="3577" max="3577" width="46.109375" style="10" customWidth="1"/>
    <col min="3578" max="3579" width="12.5546875" style="10" customWidth="1"/>
    <col min="3580" max="3580" width="11.109375" style="10" customWidth="1"/>
    <col min="3581" max="3581" width="12.109375" style="10" customWidth="1"/>
    <col min="3582" max="3582" width="2.88671875" style="10" customWidth="1"/>
    <col min="3583" max="3583" width="12.5546875" style="10" customWidth="1"/>
    <col min="3584" max="3584" width="12.44140625" style="10" customWidth="1"/>
    <col min="3585" max="3585" width="11.109375" style="10" customWidth="1"/>
    <col min="3586" max="3586" width="12.88671875" style="10" customWidth="1"/>
    <col min="3587" max="3587" width="12.44140625" style="10" customWidth="1"/>
    <col min="3588" max="3827" width="12.44140625" style="10"/>
    <col min="3828" max="3828" width="4.6640625" style="10" customWidth="1"/>
    <col min="3829" max="3829" width="4.5546875" style="10" customWidth="1"/>
    <col min="3830" max="3830" width="4.44140625" style="10" customWidth="1"/>
    <col min="3831" max="3831" width="4" style="10" customWidth="1"/>
    <col min="3832" max="3832" width="2.44140625" style="10" customWidth="1"/>
    <col min="3833" max="3833" width="46.109375" style="10" customWidth="1"/>
    <col min="3834" max="3835" width="12.5546875" style="10" customWidth="1"/>
    <col min="3836" max="3836" width="11.109375" style="10" customWidth="1"/>
    <col min="3837" max="3837" width="12.109375" style="10" customWidth="1"/>
    <col min="3838" max="3838" width="2.88671875" style="10" customWidth="1"/>
    <col min="3839" max="3839" width="12.5546875" style="10" customWidth="1"/>
    <col min="3840" max="3840" width="12.44140625" style="10" customWidth="1"/>
    <col min="3841" max="3841" width="11.109375" style="10" customWidth="1"/>
    <col min="3842" max="3842" width="12.88671875" style="10" customWidth="1"/>
    <col min="3843" max="3843" width="12.44140625" style="10" customWidth="1"/>
    <col min="3844" max="4083" width="12.44140625" style="10"/>
    <col min="4084" max="4084" width="4.6640625" style="10" customWidth="1"/>
    <col min="4085" max="4085" width="4.5546875" style="10" customWidth="1"/>
    <col min="4086" max="4086" width="4.44140625" style="10" customWidth="1"/>
    <col min="4087" max="4087" width="4" style="10" customWidth="1"/>
    <col min="4088" max="4088" width="2.44140625" style="10" customWidth="1"/>
    <col min="4089" max="4089" width="46.109375" style="10" customWidth="1"/>
    <col min="4090" max="4091" width="12.5546875" style="10" customWidth="1"/>
    <col min="4092" max="4092" width="11.109375" style="10" customWidth="1"/>
    <col min="4093" max="4093" width="12.109375" style="10" customWidth="1"/>
    <col min="4094" max="4094" width="2.88671875" style="10" customWidth="1"/>
    <col min="4095" max="4095" width="12.5546875" style="10" customWidth="1"/>
    <col min="4096" max="4096" width="12.44140625" style="10" customWidth="1"/>
    <col min="4097" max="4097" width="11.109375" style="10" customWidth="1"/>
    <col min="4098" max="4098" width="12.88671875" style="10" customWidth="1"/>
    <col min="4099" max="4099" width="12.44140625" style="10" customWidth="1"/>
    <col min="4100" max="4339" width="12.44140625" style="10"/>
    <col min="4340" max="4340" width="4.6640625" style="10" customWidth="1"/>
    <col min="4341" max="4341" width="4.5546875" style="10" customWidth="1"/>
    <col min="4342" max="4342" width="4.44140625" style="10" customWidth="1"/>
    <col min="4343" max="4343" width="4" style="10" customWidth="1"/>
    <col min="4344" max="4344" width="2.44140625" style="10" customWidth="1"/>
    <col min="4345" max="4345" width="46.109375" style="10" customWidth="1"/>
    <col min="4346" max="4347" width="12.5546875" style="10" customWidth="1"/>
    <col min="4348" max="4348" width="11.109375" style="10" customWidth="1"/>
    <col min="4349" max="4349" width="12.109375" style="10" customWidth="1"/>
    <col min="4350" max="4350" width="2.88671875" style="10" customWidth="1"/>
    <col min="4351" max="4351" width="12.5546875" style="10" customWidth="1"/>
    <col min="4352" max="4352" width="12.44140625" style="10" customWidth="1"/>
    <col min="4353" max="4353" width="11.109375" style="10" customWidth="1"/>
    <col min="4354" max="4354" width="12.88671875" style="10" customWidth="1"/>
    <col min="4355" max="4355" width="12.44140625" style="10" customWidth="1"/>
    <col min="4356" max="4595" width="12.44140625" style="10"/>
    <col min="4596" max="4596" width="4.6640625" style="10" customWidth="1"/>
    <col min="4597" max="4597" width="4.5546875" style="10" customWidth="1"/>
    <col min="4598" max="4598" width="4.44140625" style="10" customWidth="1"/>
    <col min="4599" max="4599" width="4" style="10" customWidth="1"/>
    <col min="4600" max="4600" width="2.44140625" style="10" customWidth="1"/>
    <col min="4601" max="4601" width="46.109375" style="10" customWidth="1"/>
    <col min="4602" max="4603" width="12.5546875" style="10" customWidth="1"/>
    <col min="4604" max="4604" width="11.109375" style="10" customWidth="1"/>
    <col min="4605" max="4605" width="12.109375" style="10" customWidth="1"/>
    <col min="4606" max="4606" width="2.88671875" style="10" customWidth="1"/>
    <col min="4607" max="4607" width="12.5546875" style="10" customWidth="1"/>
    <col min="4608" max="4608" width="12.44140625" style="10" customWidth="1"/>
    <col min="4609" max="4609" width="11.109375" style="10" customWidth="1"/>
    <col min="4610" max="4610" width="12.88671875" style="10" customWidth="1"/>
    <col min="4611" max="4611" width="12.44140625" style="10" customWidth="1"/>
    <col min="4612" max="4851" width="12.44140625" style="10"/>
    <col min="4852" max="4852" width="4.6640625" style="10" customWidth="1"/>
    <col min="4853" max="4853" width="4.5546875" style="10" customWidth="1"/>
    <col min="4854" max="4854" width="4.44140625" style="10" customWidth="1"/>
    <col min="4855" max="4855" width="4" style="10" customWidth="1"/>
    <col min="4856" max="4856" width="2.44140625" style="10" customWidth="1"/>
    <col min="4857" max="4857" width="46.109375" style="10" customWidth="1"/>
    <col min="4858" max="4859" width="12.5546875" style="10" customWidth="1"/>
    <col min="4860" max="4860" width="11.109375" style="10" customWidth="1"/>
    <col min="4861" max="4861" width="12.109375" style="10" customWidth="1"/>
    <col min="4862" max="4862" width="2.88671875" style="10" customWidth="1"/>
    <col min="4863" max="4863" width="12.5546875" style="10" customWidth="1"/>
    <col min="4864" max="4864" width="12.44140625" style="10" customWidth="1"/>
    <col min="4865" max="4865" width="11.109375" style="10" customWidth="1"/>
    <col min="4866" max="4866" width="12.88671875" style="10" customWidth="1"/>
    <col min="4867" max="4867" width="12.44140625" style="10" customWidth="1"/>
    <col min="4868" max="5107" width="12.44140625" style="10"/>
    <col min="5108" max="5108" width="4.6640625" style="10" customWidth="1"/>
    <col min="5109" max="5109" width="4.5546875" style="10" customWidth="1"/>
    <col min="5110" max="5110" width="4.44140625" style="10" customWidth="1"/>
    <col min="5111" max="5111" width="4" style="10" customWidth="1"/>
    <col min="5112" max="5112" width="2.44140625" style="10" customWidth="1"/>
    <col min="5113" max="5113" width="46.109375" style="10" customWidth="1"/>
    <col min="5114" max="5115" width="12.5546875" style="10" customWidth="1"/>
    <col min="5116" max="5116" width="11.109375" style="10" customWidth="1"/>
    <col min="5117" max="5117" width="12.109375" style="10" customWidth="1"/>
    <col min="5118" max="5118" width="2.88671875" style="10" customWidth="1"/>
    <col min="5119" max="5119" width="12.5546875" style="10" customWidth="1"/>
    <col min="5120" max="5120" width="12.44140625" style="10" customWidth="1"/>
    <col min="5121" max="5121" width="11.109375" style="10" customWidth="1"/>
    <col min="5122" max="5122" width="12.88671875" style="10" customWidth="1"/>
    <col min="5123" max="5123" width="12.44140625" style="10" customWidth="1"/>
    <col min="5124" max="5363" width="12.44140625" style="10"/>
    <col min="5364" max="5364" width="4.6640625" style="10" customWidth="1"/>
    <col min="5365" max="5365" width="4.5546875" style="10" customWidth="1"/>
    <col min="5366" max="5366" width="4.44140625" style="10" customWidth="1"/>
    <col min="5367" max="5367" width="4" style="10" customWidth="1"/>
    <col min="5368" max="5368" width="2.44140625" style="10" customWidth="1"/>
    <col min="5369" max="5369" width="46.109375" style="10" customWidth="1"/>
    <col min="5370" max="5371" width="12.5546875" style="10" customWidth="1"/>
    <col min="5372" max="5372" width="11.109375" style="10" customWidth="1"/>
    <col min="5373" max="5373" width="12.109375" style="10" customWidth="1"/>
    <col min="5374" max="5374" width="2.88671875" style="10" customWidth="1"/>
    <col min="5375" max="5375" width="12.5546875" style="10" customWidth="1"/>
    <col min="5376" max="5376" width="12.44140625" style="10" customWidth="1"/>
    <col min="5377" max="5377" width="11.109375" style="10" customWidth="1"/>
    <col min="5378" max="5378" width="12.88671875" style="10" customWidth="1"/>
    <col min="5379" max="5379" width="12.44140625" style="10" customWidth="1"/>
    <col min="5380" max="5619" width="12.44140625" style="10"/>
    <col min="5620" max="5620" width="4.6640625" style="10" customWidth="1"/>
    <col min="5621" max="5621" width="4.5546875" style="10" customWidth="1"/>
    <col min="5622" max="5622" width="4.44140625" style="10" customWidth="1"/>
    <col min="5623" max="5623" width="4" style="10" customWidth="1"/>
    <col min="5624" max="5624" width="2.44140625" style="10" customWidth="1"/>
    <col min="5625" max="5625" width="46.109375" style="10" customWidth="1"/>
    <col min="5626" max="5627" width="12.5546875" style="10" customWidth="1"/>
    <col min="5628" max="5628" width="11.109375" style="10" customWidth="1"/>
    <col min="5629" max="5629" width="12.109375" style="10" customWidth="1"/>
    <col min="5630" max="5630" width="2.88671875" style="10" customWidth="1"/>
    <col min="5631" max="5631" width="12.5546875" style="10" customWidth="1"/>
    <col min="5632" max="5632" width="12.44140625" style="10" customWidth="1"/>
    <col min="5633" max="5633" width="11.109375" style="10" customWidth="1"/>
    <col min="5634" max="5634" width="12.88671875" style="10" customWidth="1"/>
    <col min="5635" max="5635" width="12.44140625" style="10" customWidth="1"/>
    <col min="5636" max="5875" width="12.44140625" style="10"/>
    <col min="5876" max="5876" width="4.6640625" style="10" customWidth="1"/>
    <col min="5877" max="5877" width="4.5546875" style="10" customWidth="1"/>
    <col min="5878" max="5878" width="4.44140625" style="10" customWidth="1"/>
    <col min="5879" max="5879" width="4" style="10" customWidth="1"/>
    <col min="5880" max="5880" width="2.44140625" style="10" customWidth="1"/>
    <col min="5881" max="5881" width="46.109375" style="10" customWidth="1"/>
    <col min="5882" max="5883" width="12.5546875" style="10" customWidth="1"/>
    <col min="5884" max="5884" width="11.109375" style="10" customWidth="1"/>
    <col min="5885" max="5885" width="12.109375" style="10" customWidth="1"/>
    <col min="5886" max="5886" width="2.88671875" style="10" customWidth="1"/>
    <col min="5887" max="5887" width="12.5546875" style="10" customWidth="1"/>
    <col min="5888" max="5888" width="12.44140625" style="10" customWidth="1"/>
    <col min="5889" max="5889" width="11.109375" style="10" customWidth="1"/>
    <col min="5890" max="5890" width="12.88671875" style="10" customWidth="1"/>
    <col min="5891" max="5891" width="12.44140625" style="10" customWidth="1"/>
    <col min="5892" max="6131" width="12.44140625" style="10"/>
    <col min="6132" max="6132" width="4.6640625" style="10" customWidth="1"/>
    <col min="6133" max="6133" width="4.5546875" style="10" customWidth="1"/>
    <col min="6134" max="6134" width="4.44140625" style="10" customWidth="1"/>
    <col min="6135" max="6135" width="4" style="10" customWidth="1"/>
    <col min="6136" max="6136" width="2.44140625" style="10" customWidth="1"/>
    <col min="6137" max="6137" width="46.109375" style="10" customWidth="1"/>
    <col min="6138" max="6139" width="12.5546875" style="10" customWidth="1"/>
    <col min="6140" max="6140" width="11.109375" style="10" customWidth="1"/>
    <col min="6141" max="6141" width="12.109375" style="10" customWidth="1"/>
    <col min="6142" max="6142" width="2.88671875" style="10" customWidth="1"/>
    <col min="6143" max="6143" width="12.5546875" style="10" customWidth="1"/>
    <col min="6144" max="6144" width="12.44140625" style="10" customWidth="1"/>
    <col min="6145" max="6145" width="11.109375" style="10" customWidth="1"/>
    <col min="6146" max="6146" width="12.88671875" style="10" customWidth="1"/>
    <col min="6147" max="6147" width="12.44140625" style="10" customWidth="1"/>
    <col min="6148" max="6387" width="12.44140625" style="10"/>
    <col min="6388" max="6388" width="4.6640625" style="10" customWidth="1"/>
    <col min="6389" max="6389" width="4.5546875" style="10" customWidth="1"/>
    <col min="6390" max="6390" width="4.44140625" style="10" customWidth="1"/>
    <col min="6391" max="6391" width="4" style="10" customWidth="1"/>
    <col min="6392" max="6392" width="2.44140625" style="10" customWidth="1"/>
    <col min="6393" max="6393" width="46.109375" style="10" customWidth="1"/>
    <col min="6394" max="6395" width="12.5546875" style="10" customWidth="1"/>
    <col min="6396" max="6396" width="11.109375" style="10" customWidth="1"/>
    <col min="6397" max="6397" width="12.109375" style="10" customWidth="1"/>
    <col min="6398" max="6398" width="2.88671875" style="10" customWidth="1"/>
    <col min="6399" max="6399" width="12.5546875" style="10" customWidth="1"/>
    <col min="6400" max="6400" width="12.44140625" style="10" customWidth="1"/>
    <col min="6401" max="6401" width="11.109375" style="10" customWidth="1"/>
    <col min="6402" max="6402" width="12.88671875" style="10" customWidth="1"/>
    <col min="6403" max="6403" width="12.44140625" style="10" customWidth="1"/>
    <col min="6404" max="6643" width="12.44140625" style="10"/>
    <col min="6644" max="6644" width="4.6640625" style="10" customWidth="1"/>
    <col min="6645" max="6645" width="4.5546875" style="10" customWidth="1"/>
    <col min="6646" max="6646" width="4.44140625" style="10" customWidth="1"/>
    <col min="6647" max="6647" width="4" style="10" customWidth="1"/>
    <col min="6648" max="6648" width="2.44140625" style="10" customWidth="1"/>
    <col min="6649" max="6649" width="46.109375" style="10" customWidth="1"/>
    <col min="6650" max="6651" width="12.5546875" style="10" customWidth="1"/>
    <col min="6652" max="6652" width="11.109375" style="10" customWidth="1"/>
    <col min="6653" max="6653" width="12.109375" style="10" customWidth="1"/>
    <col min="6654" max="6654" width="2.88671875" style="10" customWidth="1"/>
    <col min="6655" max="6655" width="12.5546875" style="10" customWidth="1"/>
    <col min="6656" max="6656" width="12.44140625" style="10" customWidth="1"/>
    <col min="6657" max="6657" width="11.109375" style="10" customWidth="1"/>
    <col min="6658" max="6658" width="12.88671875" style="10" customWidth="1"/>
    <col min="6659" max="6659" width="12.44140625" style="10" customWidth="1"/>
    <col min="6660" max="6899" width="12.44140625" style="10"/>
    <col min="6900" max="6900" width="4.6640625" style="10" customWidth="1"/>
    <col min="6901" max="6901" width="4.5546875" style="10" customWidth="1"/>
    <col min="6902" max="6902" width="4.44140625" style="10" customWidth="1"/>
    <col min="6903" max="6903" width="4" style="10" customWidth="1"/>
    <col min="6904" max="6904" width="2.44140625" style="10" customWidth="1"/>
    <col min="6905" max="6905" width="46.109375" style="10" customWidth="1"/>
    <col min="6906" max="6907" width="12.5546875" style="10" customWidth="1"/>
    <col min="6908" max="6908" width="11.109375" style="10" customWidth="1"/>
    <col min="6909" max="6909" width="12.109375" style="10" customWidth="1"/>
    <col min="6910" max="6910" width="2.88671875" style="10" customWidth="1"/>
    <col min="6911" max="6911" width="12.5546875" style="10" customWidth="1"/>
    <col min="6912" max="6912" width="12.44140625" style="10" customWidth="1"/>
    <col min="6913" max="6913" width="11.109375" style="10" customWidth="1"/>
    <col min="6914" max="6914" width="12.88671875" style="10" customWidth="1"/>
    <col min="6915" max="6915" width="12.44140625" style="10" customWidth="1"/>
    <col min="6916" max="7155" width="12.44140625" style="10"/>
    <col min="7156" max="7156" width="4.6640625" style="10" customWidth="1"/>
    <col min="7157" max="7157" width="4.5546875" style="10" customWidth="1"/>
    <col min="7158" max="7158" width="4.44140625" style="10" customWidth="1"/>
    <col min="7159" max="7159" width="4" style="10" customWidth="1"/>
    <col min="7160" max="7160" width="2.44140625" style="10" customWidth="1"/>
    <col min="7161" max="7161" width="46.109375" style="10" customWidth="1"/>
    <col min="7162" max="7163" width="12.5546875" style="10" customWidth="1"/>
    <col min="7164" max="7164" width="11.109375" style="10" customWidth="1"/>
    <col min="7165" max="7165" width="12.109375" style="10" customWidth="1"/>
    <col min="7166" max="7166" width="2.88671875" style="10" customWidth="1"/>
    <col min="7167" max="7167" width="12.5546875" style="10" customWidth="1"/>
    <col min="7168" max="7168" width="12.44140625" style="10" customWidth="1"/>
    <col min="7169" max="7169" width="11.109375" style="10" customWidth="1"/>
    <col min="7170" max="7170" width="12.88671875" style="10" customWidth="1"/>
    <col min="7171" max="7171" width="12.44140625" style="10" customWidth="1"/>
    <col min="7172" max="7411" width="12.44140625" style="10"/>
    <col min="7412" max="7412" width="4.6640625" style="10" customWidth="1"/>
    <col min="7413" max="7413" width="4.5546875" style="10" customWidth="1"/>
    <col min="7414" max="7414" width="4.44140625" style="10" customWidth="1"/>
    <col min="7415" max="7415" width="4" style="10" customWidth="1"/>
    <col min="7416" max="7416" width="2.44140625" style="10" customWidth="1"/>
    <col min="7417" max="7417" width="46.109375" style="10" customWidth="1"/>
    <col min="7418" max="7419" width="12.5546875" style="10" customWidth="1"/>
    <col min="7420" max="7420" width="11.109375" style="10" customWidth="1"/>
    <col min="7421" max="7421" width="12.109375" style="10" customWidth="1"/>
    <col min="7422" max="7422" width="2.88671875" style="10" customWidth="1"/>
    <col min="7423" max="7423" width="12.5546875" style="10" customWidth="1"/>
    <col min="7424" max="7424" width="12.44140625" style="10" customWidth="1"/>
    <col min="7425" max="7425" width="11.109375" style="10" customWidth="1"/>
    <col min="7426" max="7426" width="12.88671875" style="10" customWidth="1"/>
    <col min="7427" max="7427" width="12.44140625" style="10" customWidth="1"/>
    <col min="7428" max="7667" width="12.44140625" style="10"/>
    <col min="7668" max="7668" width="4.6640625" style="10" customWidth="1"/>
    <col min="7669" max="7669" width="4.5546875" style="10" customWidth="1"/>
    <col min="7670" max="7670" width="4.44140625" style="10" customWidth="1"/>
    <col min="7671" max="7671" width="4" style="10" customWidth="1"/>
    <col min="7672" max="7672" width="2.44140625" style="10" customWidth="1"/>
    <col min="7673" max="7673" width="46.109375" style="10" customWidth="1"/>
    <col min="7674" max="7675" width="12.5546875" style="10" customWidth="1"/>
    <col min="7676" max="7676" width="11.109375" style="10" customWidth="1"/>
    <col min="7677" max="7677" width="12.109375" style="10" customWidth="1"/>
    <col min="7678" max="7678" width="2.88671875" style="10" customWidth="1"/>
    <col min="7679" max="7679" width="12.5546875" style="10" customWidth="1"/>
    <col min="7680" max="7680" width="12.44140625" style="10" customWidth="1"/>
    <col min="7681" max="7681" width="11.109375" style="10" customWidth="1"/>
    <col min="7682" max="7682" width="12.88671875" style="10" customWidth="1"/>
    <col min="7683" max="7683" width="12.44140625" style="10" customWidth="1"/>
    <col min="7684" max="7923" width="12.44140625" style="10"/>
    <col min="7924" max="7924" width="4.6640625" style="10" customWidth="1"/>
    <col min="7925" max="7925" width="4.5546875" style="10" customWidth="1"/>
    <col min="7926" max="7926" width="4.44140625" style="10" customWidth="1"/>
    <col min="7927" max="7927" width="4" style="10" customWidth="1"/>
    <col min="7928" max="7928" width="2.44140625" style="10" customWidth="1"/>
    <col min="7929" max="7929" width="46.109375" style="10" customWidth="1"/>
    <col min="7930" max="7931" width="12.5546875" style="10" customWidth="1"/>
    <col min="7932" max="7932" width="11.109375" style="10" customWidth="1"/>
    <col min="7933" max="7933" width="12.109375" style="10" customWidth="1"/>
    <col min="7934" max="7934" width="2.88671875" style="10" customWidth="1"/>
    <col min="7935" max="7935" width="12.5546875" style="10" customWidth="1"/>
    <col min="7936" max="7936" width="12.44140625" style="10" customWidth="1"/>
    <col min="7937" max="7937" width="11.109375" style="10" customWidth="1"/>
    <col min="7938" max="7938" width="12.88671875" style="10" customWidth="1"/>
    <col min="7939" max="7939" width="12.44140625" style="10" customWidth="1"/>
    <col min="7940" max="8179" width="12.44140625" style="10"/>
    <col min="8180" max="8180" width="4.6640625" style="10" customWidth="1"/>
    <col min="8181" max="8181" width="4.5546875" style="10" customWidth="1"/>
    <col min="8182" max="8182" width="4.44140625" style="10" customWidth="1"/>
    <col min="8183" max="8183" width="4" style="10" customWidth="1"/>
    <col min="8184" max="8184" width="2.44140625" style="10" customWidth="1"/>
    <col min="8185" max="8185" width="46.109375" style="10" customWidth="1"/>
    <col min="8186" max="8187" width="12.5546875" style="10" customWidth="1"/>
    <col min="8188" max="8188" width="11.109375" style="10" customWidth="1"/>
    <col min="8189" max="8189" width="12.109375" style="10" customWidth="1"/>
    <col min="8190" max="8190" width="2.88671875" style="10" customWidth="1"/>
    <col min="8191" max="8191" width="12.5546875" style="10" customWidth="1"/>
    <col min="8192" max="8192" width="12.44140625" style="10" customWidth="1"/>
    <col min="8193" max="8193" width="11.109375" style="10" customWidth="1"/>
    <col min="8194" max="8194" width="12.88671875" style="10" customWidth="1"/>
    <col min="8195" max="8195" width="12.44140625" style="10" customWidth="1"/>
    <col min="8196" max="8435" width="12.44140625" style="10"/>
    <col min="8436" max="8436" width="4.6640625" style="10" customWidth="1"/>
    <col min="8437" max="8437" width="4.5546875" style="10" customWidth="1"/>
    <col min="8438" max="8438" width="4.44140625" style="10" customWidth="1"/>
    <col min="8439" max="8439" width="4" style="10" customWidth="1"/>
    <col min="8440" max="8440" width="2.44140625" style="10" customWidth="1"/>
    <col min="8441" max="8441" width="46.109375" style="10" customWidth="1"/>
    <col min="8442" max="8443" width="12.5546875" style="10" customWidth="1"/>
    <col min="8444" max="8444" width="11.109375" style="10" customWidth="1"/>
    <col min="8445" max="8445" width="12.109375" style="10" customWidth="1"/>
    <col min="8446" max="8446" width="2.88671875" style="10" customWidth="1"/>
    <col min="8447" max="8447" width="12.5546875" style="10" customWidth="1"/>
    <col min="8448" max="8448" width="12.44140625" style="10" customWidth="1"/>
    <col min="8449" max="8449" width="11.109375" style="10" customWidth="1"/>
    <col min="8450" max="8450" width="12.88671875" style="10" customWidth="1"/>
    <col min="8451" max="8451" width="12.44140625" style="10" customWidth="1"/>
    <col min="8452" max="8691" width="12.44140625" style="10"/>
    <col min="8692" max="8692" width="4.6640625" style="10" customWidth="1"/>
    <col min="8693" max="8693" width="4.5546875" style="10" customWidth="1"/>
    <col min="8694" max="8694" width="4.44140625" style="10" customWidth="1"/>
    <col min="8695" max="8695" width="4" style="10" customWidth="1"/>
    <col min="8696" max="8696" width="2.44140625" style="10" customWidth="1"/>
    <col min="8697" max="8697" width="46.109375" style="10" customWidth="1"/>
    <col min="8698" max="8699" width="12.5546875" style="10" customWidth="1"/>
    <col min="8700" max="8700" width="11.109375" style="10" customWidth="1"/>
    <col min="8701" max="8701" width="12.109375" style="10" customWidth="1"/>
    <col min="8702" max="8702" width="2.88671875" style="10" customWidth="1"/>
    <col min="8703" max="8703" width="12.5546875" style="10" customWidth="1"/>
    <col min="8704" max="8704" width="12.44140625" style="10" customWidth="1"/>
    <col min="8705" max="8705" width="11.109375" style="10" customWidth="1"/>
    <col min="8706" max="8706" width="12.88671875" style="10" customWidth="1"/>
    <col min="8707" max="8707" width="12.44140625" style="10" customWidth="1"/>
    <col min="8708" max="8947" width="12.44140625" style="10"/>
    <col min="8948" max="8948" width="4.6640625" style="10" customWidth="1"/>
    <col min="8949" max="8949" width="4.5546875" style="10" customWidth="1"/>
    <col min="8950" max="8950" width="4.44140625" style="10" customWidth="1"/>
    <col min="8951" max="8951" width="4" style="10" customWidth="1"/>
    <col min="8952" max="8952" width="2.44140625" style="10" customWidth="1"/>
    <col min="8953" max="8953" width="46.109375" style="10" customWidth="1"/>
    <col min="8954" max="8955" width="12.5546875" style="10" customWidth="1"/>
    <col min="8956" max="8956" width="11.109375" style="10" customWidth="1"/>
    <col min="8957" max="8957" width="12.109375" style="10" customWidth="1"/>
    <col min="8958" max="8958" width="2.88671875" style="10" customWidth="1"/>
    <col min="8959" max="8959" width="12.5546875" style="10" customWidth="1"/>
    <col min="8960" max="8960" width="12.44140625" style="10" customWidth="1"/>
    <col min="8961" max="8961" width="11.109375" style="10" customWidth="1"/>
    <col min="8962" max="8962" width="12.88671875" style="10" customWidth="1"/>
    <col min="8963" max="8963" width="12.44140625" style="10" customWidth="1"/>
    <col min="8964" max="9203" width="12.44140625" style="10"/>
    <col min="9204" max="9204" width="4.6640625" style="10" customWidth="1"/>
    <col min="9205" max="9205" width="4.5546875" style="10" customWidth="1"/>
    <col min="9206" max="9206" width="4.44140625" style="10" customWidth="1"/>
    <col min="9207" max="9207" width="4" style="10" customWidth="1"/>
    <col min="9208" max="9208" width="2.44140625" style="10" customWidth="1"/>
    <col min="9209" max="9209" width="46.109375" style="10" customWidth="1"/>
    <col min="9210" max="9211" width="12.5546875" style="10" customWidth="1"/>
    <col min="9212" max="9212" width="11.109375" style="10" customWidth="1"/>
    <col min="9213" max="9213" width="12.109375" style="10" customWidth="1"/>
    <col min="9214" max="9214" width="2.88671875" style="10" customWidth="1"/>
    <col min="9215" max="9215" width="12.5546875" style="10" customWidth="1"/>
    <col min="9216" max="9216" width="12.44140625" style="10" customWidth="1"/>
    <col min="9217" max="9217" width="11.109375" style="10" customWidth="1"/>
    <col min="9218" max="9218" width="12.88671875" style="10" customWidth="1"/>
    <col min="9219" max="9219" width="12.44140625" style="10" customWidth="1"/>
    <col min="9220" max="9459" width="12.44140625" style="10"/>
    <col min="9460" max="9460" width="4.6640625" style="10" customWidth="1"/>
    <col min="9461" max="9461" width="4.5546875" style="10" customWidth="1"/>
    <col min="9462" max="9462" width="4.44140625" style="10" customWidth="1"/>
    <col min="9463" max="9463" width="4" style="10" customWidth="1"/>
    <col min="9464" max="9464" width="2.44140625" style="10" customWidth="1"/>
    <col min="9465" max="9465" width="46.109375" style="10" customWidth="1"/>
    <col min="9466" max="9467" width="12.5546875" style="10" customWidth="1"/>
    <col min="9468" max="9468" width="11.109375" style="10" customWidth="1"/>
    <col min="9469" max="9469" width="12.109375" style="10" customWidth="1"/>
    <col min="9470" max="9470" width="2.88671875" style="10" customWidth="1"/>
    <col min="9471" max="9471" width="12.5546875" style="10" customWidth="1"/>
    <col min="9472" max="9472" width="12.44140625" style="10" customWidth="1"/>
    <col min="9473" max="9473" width="11.109375" style="10" customWidth="1"/>
    <col min="9474" max="9474" width="12.88671875" style="10" customWidth="1"/>
    <col min="9475" max="9475" width="12.44140625" style="10" customWidth="1"/>
    <col min="9476" max="9715" width="12.44140625" style="10"/>
    <col min="9716" max="9716" width="4.6640625" style="10" customWidth="1"/>
    <col min="9717" max="9717" width="4.5546875" style="10" customWidth="1"/>
    <col min="9718" max="9718" width="4.44140625" style="10" customWidth="1"/>
    <col min="9719" max="9719" width="4" style="10" customWidth="1"/>
    <col min="9720" max="9720" width="2.44140625" style="10" customWidth="1"/>
    <col min="9721" max="9721" width="46.109375" style="10" customWidth="1"/>
    <col min="9722" max="9723" width="12.5546875" style="10" customWidth="1"/>
    <col min="9724" max="9724" width="11.109375" style="10" customWidth="1"/>
    <col min="9725" max="9725" width="12.109375" style="10" customWidth="1"/>
    <col min="9726" max="9726" width="2.88671875" style="10" customWidth="1"/>
    <col min="9727" max="9727" width="12.5546875" style="10" customWidth="1"/>
    <col min="9728" max="9728" width="12.44140625" style="10" customWidth="1"/>
    <col min="9729" max="9729" width="11.109375" style="10" customWidth="1"/>
    <col min="9730" max="9730" width="12.88671875" style="10" customWidth="1"/>
    <col min="9731" max="9731" width="12.44140625" style="10" customWidth="1"/>
    <col min="9732" max="9971" width="12.44140625" style="10"/>
    <col min="9972" max="9972" width="4.6640625" style="10" customWidth="1"/>
    <col min="9973" max="9973" width="4.5546875" style="10" customWidth="1"/>
    <col min="9974" max="9974" width="4.44140625" style="10" customWidth="1"/>
    <col min="9975" max="9975" width="4" style="10" customWidth="1"/>
    <col min="9976" max="9976" width="2.44140625" style="10" customWidth="1"/>
    <col min="9977" max="9977" width="46.109375" style="10" customWidth="1"/>
    <col min="9978" max="9979" width="12.5546875" style="10" customWidth="1"/>
    <col min="9980" max="9980" width="11.109375" style="10" customWidth="1"/>
    <col min="9981" max="9981" width="12.109375" style="10" customWidth="1"/>
    <col min="9982" max="9982" width="2.88671875" style="10" customWidth="1"/>
    <col min="9983" max="9983" width="12.5546875" style="10" customWidth="1"/>
    <col min="9984" max="9984" width="12.44140625" style="10" customWidth="1"/>
    <col min="9985" max="9985" width="11.109375" style="10" customWidth="1"/>
    <col min="9986" max="9986" width="12.88671875" style="10" customWidth="1"/>
    <col min="9987" max="9987" width="12.44140625" style="10" customWidth="1"/>
    <col min="9988" max="10227" width="12.44140625" style="10"/>
    <col min="10228" max="10228" width="4.6640625" style="10" customWidth="1"/>
    <col min="10229" max="10229" width="4.5546875" style="10" customWidth="1"/>
    <col min="10230" max="10230" width="4.44140625" style="10" customWidth="1"/>
    <col min="10231" max="10231" width="4" style="10" customWidth="1"/>
    <col min="10232" max="10232" width="2.44140625" style="10" customWidth="1"/>
    <col min="10233" max="10233" width="46.109375" style="10" customWidth="1"/>
    <col min="10234" max="10235" width="12.5546875" style="10" customWidth="1"/>
    <col min="10236" max="10236" width="11.109375" style="10" customWidth="1"/>
    <col min="10237" max="10237" width="12.109375" style="10" customWidth="1"/>
    <col min="10238" max="10238" width="2.88671875" style="10" customWidth="1"/>
    <col min="10239" max="10239" width="12.5546875" style="10" customWidth="1"/>
    <col min="10240" max="10240" width="12.44140625" style="10" customWidth="1"/>
    <col min="10241" max="10241" width="11.109375" style="10" customWidth="1"/>
    <col min="10242" max="10242" width="12.88671875" style="10" customWidth="1"/>
    <col min="10243" max="10243" width="12.44140625" style="10" customWidth="1"/>
    <col min="10244" max="10483" width="12.44140625" style="10"/>
    <col min="10484" max="10484" width="4.6640625" style="10" customWidth="1"/>
    <col min="10485" max="10485" width="4.5546875" style="10" customWidth="1"/>
    <col min="10486" max="10486" width="4.44140625" style="10" customWidth="1"/>
    <col min="10487" max="10487" width="4" style="10" customWidth="1"/>
    <col min="10488" max="10488" width="2.44140625" style="10" customWidth="1"/>
    <col min="10489" max="10489" width="46.109375" style="10" customWidth="1"/>
    <col min="10490" max="10491" width="12.5546875" style="10" customWidth="1"/>
    <col min="10492" max="10492" width="11.109375" style="10" customWidth="1"/>
    <col min="10493" max="10493" width="12.109375" style="10" customWidth="1"/>
    <col min="10494" max="10494" width="2.88671875" style="10" customWidth="1"/>
    <col min="10495" max="10495" width="12.5546875" style="10" customWidth="1"/>
    <col min="10496" max="10496" width="12.44140625" style="10" customWidth="1"/>
    <col min="10497" max="10497" width="11.109375" style="10" customWidth="1"/>
    <col min="10498" max="10498" width="12.88671875" style="10" customWidth="1"/>
    <col min="10499" max="10499" width="12.44140625" style="10" customWidth="1"/>
    <col min="10500" max="10739" width="12.44140625" style="10"/>
    <col min="10740" max="10740" width="4.6640625" style="10" customWidth="1"/>
    <col min="10741" max="10741" width="4.5546875" style="10" customWidth="1"/>
    <col min="10742" max="10742" width="4.44140625" style="10" customWidth="1"/>
    <col min="10743" max="10743" width="4" style="10" customWidth="1"/>
    <col min="10744" max="10744" width="2.44140625" style="10" customWidth="1"/>
    <col min="10745" max="10745" width="46.109375" style="10" customWidth="1"/>
    <col min="10746" max="10747" width="12.5546875" style="10" customWidth="1"/>
    <col min="10748" max="10748" width="11.109375" style="10" customWidth="1"/>
    <col min="10749" max="10749" width="12.109375" style="10" customWidth="1"/>
    <col min="10750" max="10750" width="2.88671875" style="10" customWidth="1"/>
    <col min="10751" max="10751" width="12.5546875" style="10" customWidth="1"/>
    <col min="10752" max="10752" width="12.44140625" style="10" customWidth="1"/>
    <col min="10753" max="10753" width="11.109375" style="10" customWidth="1"/>
    <col min="10754" max="10754" width="12.88671875" style="10" customWidth="1"/>
    <col min="10755" max="10755" width="12.44140625" style="10" customWidth="1"/>
    <col min="10756" max="10995" width="12.44140625" style="10"/>
    <col min="10996" max="10996" width="4.6640625" style="10" customWidth="1"/>
    <col min="10997" max="10997" width="4.5546875" style="10" customWidth="1"/>
    <col min="10998" max="10998" width="4.44140625" style="10" customWidth="1"/>
    <col min="10999" max="10999" width="4" style="10" customWidth="1"/>
    <col min="11000" max="11000" width="2.44140625" style="10" customWidth="1"/>
    <col min="11001" max="11001" width="46.109375" style="10" customWidth="1"/>
    <col min="11002" max="11003" width="12.5546875" style="10" customWidth="1"/>
    <col min="11004" max="11004" width="11.109375" style="10" customWidth="1"/>
    <col min="11005" max="11005" width="12.109375" style="10" customWidth="1"/>
    <col min="11006" max="11006" width="2.88671875" style="10" customWidth="1"/>
    <col min="11007" max="11007" width="12.5546875" style="10" customWidth="1"/>
    <col min="11008" max="11008" width="12.44140625" style="10" customWidth="1"/>
    <col min="11009" max="11009" width="11.109375" style="10" customWidth="1"/>
    <col min="11010" max="11010" width="12.88671875" style="10" customWidth="1"/>
    <col min="11011" max="11011" width="12.44140625" style="10" customWidth="1"/>
    <col min="11012" max="11251" width="12.44140625" style="10"/>
    <col min="11252" max="11252" width="4.6640625" style="10" customWidth="1"/>
    <col min="11253" max="11253" width="4.5546875" style="10" customWidth="1"/>
    <col min="11254" max="11254" width="4.44140625" style="10" customWidth="1"/>
    <col min="11255" max="11255" width="4" style="10" customWidth="1"/>
    <col min="11256" max="11256" width="2.44140625" style="10" customWidth="1"/>
    <col min="11257" max="11257" width="46.109375" style="10" customWidth="1"/>
    <col min="11258" max="11259" width="12.5546875" style="10" customWidth="1"/>
    <col min="11260" max="11260" width="11.109375" style="10" customWidth="1"/>
    <col min="11261" max="11261" width="12.109375" style="10" customWidth="1"/>
    <col min="11262" max="11262" width="2.88671875" style="10" customWidth="1"/>
    <col min="11263" max="11263" width="12.5546875" style="10" customWidth="1"/>
    <col min="11264" max="11264" width="12.44140625" style="10" customWidth="1"/>
    <col min="11265" max="11265" width="11.109375" style="10" customWidth="1"/>
    <col min="11266" max="11266" width="12.88671875" style="10" customWidth="1"/>
    <col min="11267" max="11267" width="12.44140625" style="10" customWidth="1"/>
    <col min="11268" max="11507" width="12.44140625" style="10"/>
    <col min="11508" max="11508" width="4.6640625" style="10" customWidth="1"/>
    <col min="11509" max="11509" width="4.5546875" style="10" customWidth="1"/>
    <col min="11510" max="11510" width="4.44140625" style="10" customWidth="1"/>
    <col min="11511" max="11511" width="4" style="10" customWidth="1"/>
    <col min="11512" max="11512" width="2.44140625" style="10" customWidth="1"/>
    <col min="11513" max="11513" width="46.109375" style="10" customWidth="1"/>
    <col min="11514" max="11515" width="12.5546875" style="10" customWidth="1"/>
    <col min="11516" max="11516" width="11.109375" style="10" customWidth="1"/>
    <col min="11517" max="11517" width="12.109375" style="10" customWidth="1"/>
    <col min="11518" max="11518" width="2.88671875" style="10" customWidth="1"/>
    <col min="11519" max="11519" width="12.5546875" style="10" customWidth="1"/>
    <col min="11520" max="11520" width="12.44140625" style="10" customWidth="1"/>
    <col min="11521" max="11521" width="11.109375" style="10" customWidth="1"/>
    <col min="11522" max="11522" width="12.88671875" style="10" customWidth="1"/>
    <col min="11523" max="11523" width="12.44140625" style="10" customWidth="1"/>
    <col min="11524" max="11763" width="12.44140625" style="10"/>
    <col min="11764" max="11764" width="4.6640625" style="10" customWidth="1"/>
    <col min="11765" max="11765" width="4.5546875" style="10" customWidth="1"/>
    <col min="11766" max="11766" width="4.44140625" style="10" customWidth="1"/>
    <col min="11767" max="11767" width="4" style="10" customWidth="1"/>
    <col min="11768" max="11768" width="2.44140625" style="10" customWidth="1"/>
    <col min="11769" max="11769" width="46.109375" style="10" customWidth="1"/>
    <col min="11770" max="11771" width="12.5546875" style="10" customWidth="1"/>
    <col min="11772" max="11772" width="11.109375" style="10" customWidth="1"/>
    <col min="11773" max="11773" width="12.109375" style="10" customWidth="1"/>
    <col min="11774" max="11774" width="2.88671875" style="10" customWidth="1"/>
    <col min="11775" max="11775" width="12.5546875" style="10" customWidth="1"/>
    <col min="11776" max="11776" width="12.44140625" style="10" customWidth="1"/>
    <col min="11777" max="11777" width="11.109375" style="10" customWidth="1"/>
    <col min="11778" max="11778" width="12.88671875" style="10" customWidth="1"/>
    <col min="11779" max="11779" width="12.44140625" style="10" customWidth="1"/>
    <col min="11780" max="12019" width="12.44140625" style="10"/>
    <col min="12020" max="12020" width="4.6640625" style="10" customWidth="1"/>
    <col min="12021" max="12021" width="4.5546875" style="10" customWidth="1"/>
    <col min="12022" max="12022" width="4.44140625" style="10" customWidth="1"/>
    <col min="12023" max="12023" width="4" style="10" customWidth="1"/>
    <col min="12024" max="12024" width="2.44140625" style="10" customWidth="1"/>
    <col min="12025" max="12025" width="46.109375" style="10" customWidth="1"/>
    <col min="12026" max="12027" width="12.5546875" style="10" customWidth="1"/>
    <col min="12028" max="12028" width="11.109375" style="10" customWidth="1"/>
    <col min="12029" max="12029" width="12.109375" style="10" customWidth="1"/>
    <col min="12030" max="12030" width="2.88671875" style="10" customWidth="1"/>
    <col min="12031" max="12031" width="12.5546875" style="10" customWidth="1"/>
    <col min="12032" max="12032" width="12.44140625" style="10" customWidth="1"/>
    <col min="12033" max="12033" width="11.109375" style="10" customWidth="1"/>
    <col min="12034" max="12034" width="12.88671875" style="10" customWidth="1"/>
    <col min="12035" max="12035" width="12.44140625" style="10" customWidth="1"/>
    <col min="12036" max="12275" width="12.44140625" style="10"/>
    <col min="12276" max="12276" width="4.6640625" style="10" customWidth="1"/>
    <col min="12277" max="12277" width="4.5546875" style="10" customWidth="1"/>
    <col min="12278" max="12278" width="4.44140625" style="10" customWidth="1"/>
    <col min="12279" max="12279" width="4" style="10" customWidth="1"/>
    <col min="12280" max="12280" width="2.44140625" style="10" customWidth="1"/>
    <col min="12281" max="12281" width="46.109375" style="10" customWidth="1"/>
    <col min="12282" max="12283" width="12.5546875" style="10" customWidth="1"/>
    <col min="12284" max="12284" width="11.109375" style="10" customWidth="1"/>
    <col min="12285" max="12285" width="12.109375" style="10" customWidth="1"/>
    <col min="12286" max="12286" width="2.88671875" style="10" customWidth="1"/>
    <col min="12287" max="12287" width="12.5546875" style="10" customWidth="1"/>
    <col min="12288" max="12288" width="12.44140625" style="10" customWidth="1"/>
    <col min="12289" max="12289" width="11.109375" style="10" customWidth="1"/>
    <col min="12290" max="12290" width="12.88671875" style="10" customWidth="1"/>
    <col min="12291" max="12291" width="12.44140625" style="10" customWidth="1"/>
    <col min="12292" max="12531" width="12.44140625" style="10"/>
    <col min="12532" max="12532" width="4.6640625" style="10" customWidth="1"/>
    <col min="12533" max="12533" width="4.5546875" style="10" customWidth="1"/>
    <col min="12534" max="12534" width="4.44140625" style="10" customWidth="1"/>
    <col min="12535" max="12535" width="4" style="10" customWidth="1"/>
    <col min="12536" max="12536" width="2.44140625" style="10" customWidth="1"/>
    <col min="12537" max="12537" width="46.109375" style="10" customWidth="1"/>
    <col min="12538" max="12539" width="12.5546875" style="10" customWidth="1"/>
    <col min="12540" max="12540" width="11.109375" style="10" customWidth="1"/>
    <col min="12541" max="12541" width="12.109375" style="10" customWidth="1"/>
    <col min="12542" max="12542" width="2.88671875" style="10" customWidth="1"/>
    <col min="12543" max="12543" width="12.5546875" style="10" customWidth="1"/>
    <col min="12544" max="12544" width="12.44140625" style="10" customWidth="1"/>
    <col min="12545" max="12545" width="11.109375" style="10" customWidth="1"/>
    <col min="12546" max="12546" width="12.88671875" style="10" customWidth="1"/>
    <col min="12547" max="12547" width="12.44140625" style="10" customWidth="1"/>
    <col min="12548" max="12787" width="12.44140625" style="10"/>
    <col min="12788" max="12788" width="4.6640625" style="10" customWidth="1"/>
    <col min="12789" max="12789" width="4.5546875" style="10" customWidth="1"/>
    <col min="12790" max="12790" width="4.44140625" style="10" customWidth="1"/>
    <col min="12791" max="12791" width="4" style="10" customWidth="1"/>
    <col min="12792" max="12792" width="2.44140625" style="10" customWidth="1"/>
    <col min="12793" max="12793" width="46.109375" style="10" customWidth="1"/>
    <col min="12794" max="12795" width="12.5546875" style="10" customWidth="1"/>
    <col min="12796" max="12796" width="11.109375" style="10" customWidth="1"/>
    <col min="12797" max="12797" width="12.109375" style="10" customWidth="1"/>
    <col min="12798" max="12798" width="2.88671875" style="10" customWidth="1"/>
    <col min="12799" max="12799" width="12.5546875" style="10" customWidth="1"/>
    <col min="12800" max="12800" width="12.44140625" style="10" customWidth="1"/>
    <col min="12801" max="12801" width="11.109375" style="10" customWidth="1"/>
    <col min="12802" max="12802" width="12.88671875" style="10" customWidth="1"/>
    <col min="12803" max="12803" width="12.44140625" style="10" customWidth="1"/>
    <col min="12804" max="13043" width="12.44140625" style="10"/>
    <col min="13044" max="13044" width="4.6640625" style="10" customWidth="1"/>
    <col min="13045" max="13045" width="4.5546875" style="10" customWidth="1"/>
    <col min="13046" max="13046" width="4.44140625" style="10" customWidth="1"/>
    <col min="13047" max="13047" width="4" style="10" customWidth="1"/>
    <col min="13048" max="13048" width="2.44140625" style="10" customWidth="1"/>
    <col min="13049" max="13049" width="46.109375" style="10" customWidth="1"/>
    <col min="13050" max="13051" width="12.5546875" style="10" customWidth="1"/>
    <col min="13052" max="13052" width="11.109375" style="10" customWidth="1"/>
    <col min="13053" max="13053" width="12.109375" style="10" customWidth="1"/>
    <col min="13054" max="13054" width="2.88671875" style="10" customWidth="1"/>
    <col min="13055" max="13055" width="12.5546875" style="10" customWidth="1"/>
    <col min="13056" max="13056" width="12.44140625" style="10" customWidth="1"/>
    <col min="13057" max="13057" width="11.109375" style="10" customWidth="1"/>
    <col min="13058" max="13058" width="12.88671875" style="10" customWidth="1"/>
    <col min="13059" max="13059" width="12.44140625" style="10" customWidth="1"/>
    <col min="13060" max="13299" width="12.44140625" style="10"/>
    <col min="13300" max="13300" width="4.6640625" style="10" customWidth="1"/>
    <col min="13301" max="13301" width="4.5546875" style="10" customWidth="1"/>
    <col min="13302" max="13302" width="4.44140625" style="10" customWidth="1"/>
    <col min="13303" max="13303" width="4" style="10" customWidth="1"/>
    <col min="13304" max="13304" width="2.44140625" style="10" customWidth="1"/>
    <col min="13305" max="13305" width="46.109375" style="10" customWidth="1"/>
    <col min="13306" max="13307" width="12.5546875" style="10" customWidth="1"/>
    <col min="13308" max="13308" width="11.109375" style="10" customWidth="1"/>
    <col min="13309" max="13309" width="12.109375" style="10" customWidth="1"/>
    <col min="13310" max="13310" width="2.88671875" style="10" customWidth="1"/>
    <col min="13311" max="13311" width="12.5546875" style="10" customWidth="1"/>
    <col min="13312" max="13312" width="12.44140625" style="10" customWidth="1"/>
    <col min="13313" max="13313" width="11.109375" style="10" customWidth="1"/>
    <col min="13314" max="13314" width="12.88671875" style="10" customWidth="1"/>
    <col min="13315" max="13315" width="12.44140625" style="10" customWidth="1"/>
    <col min="13316" max="13555" width="12.44140625" style="10"/>
    <col min="13556" max="13556" width="4.6640625" style="10" customWidth="1"/>
    <col min="13557" max="13557" width="4.5546875" style="10" customWidth="1"/>
    <col min="13558" max="13558" width="4.44140625" style="10" customWidth="1"/>
    <col min="13559" max="13559" width="4" style="10" customWidth="1"/>
    <col min="13560" max="13560" width="2.44140625" style="10" customWidth="1"/>
    <col min="13561" max="13561" width="46.109375" style="10" customWidth="1"/>
    <col min="13562" max="13563" width="12.5546875" style="10" customWidth="1"/>
    <col min="13564" max="13564" width="11.109375" style="10" customWidth="1"/>
    <col min="13565" max="13565" width="12.109375" style="10" customWidth="1"/>
    <col min="13566" max="13566" width="2.88671875" style="10" customWidth="1"/>
    <col min="13567" max="13567" width="12.5546875" style="10" customWidth="1"/>
    <col min="13568" max="13568" width="12.44140625" style="10" customWidth="1"/>
    <col min="13569" max="13569" width="11.109375" style="10" customWidth="1"/>
    <col min="13570" max="13570" width="12.88671875" style="10" customWidth="1"/>
    <col min="13571" max="13571" width="12.44140625" style="10" customWidth="1"/>
    <col min="13572" max="13811" width="12.44140625" style="10"/>
    <col min="13812" max="13812" width="4.6640625" style="10" customWidth="1"/>
    <col min="13813" max="13813" width="4.5546875" style="10" customWidth="1"/>
    <col min="13814" max="13814" width="4.44140625" style="10" customWidth="1"/>
    <col min="13815" max="13815" width="4" style="10" customWidth="1"/>
    <col min="13816" max="13816" width="2.44140625" style="10" customWidth="1"/>
    <col min="13817" max="13817" width="46.109375" style="10" customWidth="1"/>
    <col min="13818" max="13819" width="12.5546875" style="10" customWidth="1"/>
    <col min="13820" max="13820" width="11.109375" style="10" customWidth="1"/>
    <col min="13821" max="13821" width="12.109375" style="10" customWidth="1"/>
    <col min="13822" max="13822" width="2.88671875" style="10" customWidth="1"/>
    <col min="13823" max="13823" width="12.5546875" style="10" customWidth="1"/>
    <col min="13824" max="13824" width="12.44140625" style="10" customWidth="1"/>
    <col min="13825" max="13825" width="11.109375" style="10" customWidth="1"/>
    <col min="13826" max="13826" width="12.88671875" style="10" customWidth="1"/>
    <col min="13827" max="13827" width="12.44140625" style="10" customWidth="1"/>
    <col min="13828" max="14067" width="12.44140625" style="10"/>
    <col min="14068" max="14068" width="4.6640625" style="10" customWidth="1"/>
    <col min="14069" max="14069" width="4.5546875" style="10" customWidth="1"/>
    <col min="14070" max="14070" width="4.44140625" style="10" customWidth="1"/>
    <col min="14071" max="14071" width="4" style="10" customWidth="1"/>
    <col min="14072" max="14072" width="2.44140625" style="10" customWidth="1"/>
    <col min="14073" max="14073" width="46.109375" style="10" customWidth="1"/>
    <col min="14074" max="14075" width="12.5546875" style="10" customWidth="1"/>
    <col min="14076" max="14076" width="11.109375" style="10" customWidth="1"/>
    <col min="14077" max="14077" width="12.109375" style="10" customWidth="1"/>
    <col min="14078" max="14078" width="2.88671875" style="10" customWidth="1"/>
    <col min="14079" max="14079" width="12.5546875" style="10" customWidth="1"/>
    <col min="14080" max="14080" width="12.44140625" style="10" customWidth="1"/>
    <col min="14081" max="14081" width="11.109375" style="10" customWidth="1"/>
    <col min="14082" max="14082" width="12.88671875" style="10" customWidth="1"/>
    <col min="14083" max="14083" width="12.44140625" style="10" customWidth="1"/>
    <col min="14084" max="14323" width="12.44140625" style="10"/>
    <col min="14324" max="14324" width="4.6640625" style="10" customWidth="1"/>
    <col min="14325" max="14325" width="4.5546875" style="10" customWidth="1"/>
    <col min="14326" max="14326" width="4.44140625" style="10" customWidth="1"/>
    <col min="14327" max="14327" width="4" style="10" customWidth="1"/>
    <col min="14328" max="14328" width="2.44140625" style="10" customWidth="1"/>
    <col min="14329" max="14329" width="46.109375" style="10" customWidth="1"/>
    <col min="14330" max="14331" width="12.5546875" style="10" customWidth="1"/>
    <col min="14332" max="14332" width="11.109375" style="10" customWidth="1"/>
    <col min="14333" max="14333" width="12.109375" style="10" customWidth="1"/>
    <col min="14334" max="14334" width="2.88671875" style="10" customWidth="1"/>
    <col min="14335" max="14335" width="12.5546875" style="10" customWidth="1"/>
    <col min="14336" max="14336" width="12.44140625" style="10" customWidth="1"/>
    <col min="14337" max="14337" width="11.109375" style="10" customWidth="1"/>
    <col min="14338" max="14338" width="12.88671875" style="10" customWidth="1"/>
    <col min="14339" max="14339" width="12.44140625" style="10" customWidth="1"/>
    <col min="14340" max="14579" width="12.44140625" style="10"/>
    <col min="14580" max="14580" width="4.6640625" style="10" customWidth="1"/>
    <col min="14581" max="14581" width="4.5546875" style="10" customWidth="1"/>
    <col min="14582" max="14582" width="4.44140625" style="10" customWidth="1"/>
    <col min="14583" max="14583" width="4" style="10" customWidth="1"/>
    <col min="14584" max="14584" width="2.44140625" style="10" customWidth="1"/>
    <col min="14585" max="14585" width="46.109375" style="10" customWidth="1"/>
    <col min="14586" max="14587" width="12.5546875" style="10" customWidth="1"/>
    <col min="14588" max="14588" width="11.109375" style="10" customWidth="1"/>
    <col min="14589" max="14589" width="12.109375" style="10" customWidth="1"/>
    <col min="14590" max="14590" width="2.88671875" style="10" customWidth="1"/>
    <col min="14591" max="14591" width="12.5546875" style="10" customWidth="1"/>
    <col min="14592" max="14592" width="12.44140625" style="10" customWidth="1"/>
    <col min="14593" max="14593" width="11.109375" style="10" customWidth="1"/>
    <col min="14594" max="14594" width="12.88671875" style="10" customWidth="1"/>
    <col min="14595" max="14595" width="12.44140625" style="10" customWidth="1"/>
    <col min="14596" max="14835" width="12.44140625" style="10"/>
    <col min="14836" max="14836" width="4.6640625" style="10" customWidth="1"/>
    <col min="14837" max="14837" width="4.5546875" style="10" customWidth="1"/>
    <col min="14838" max="14838" width="4.44140625" style="10" customWidth="1"/>
    <col min="14839" max="14839" width="4" style="10" customWidth="1"/>
    <col min="14840" max="14840" width="2.44140625" style="10" customWidth="1"/>
    <col min="14841" max="14841" width="46.109375" style="10" customWidth="1"/>
    <col min="14842" max="14843" width="12.5546875" style="10" customWidth="1"/>
    <col min="14844" max="14844" width="11.109375" style="10" customWidth="1"/>
    <col min="14845" max="14845" width="12.109375" style="10" customWidth="1"/>
    <col min="14846" max="14846" width="2.88671875" style="10" customWidth="1"/>
    <col min="14847" max="14847" width="12.5546875" style="10" customWidth="1"/>
    <col min="14848" max="14848" width="12.44140625" style="10" customWidth="1"/>
    <col min="14849" max="14849" width="11.109375" style="10" customWidth="1"/>
    <col min="14850" max="14850" width="12.88671875" style="10" customWidth="1"/>
    <col min="14851" max="14851" width="12.44140625" style="10" customWidth="1"/>
    <col min="14852" max="15091" width="12.44140625" style="10"/>
    <col min="15092" max="15092" width="4.6640625" style="10" customWidth="1"/>
    <col min="15093" max="15093" width="4.5546875" style="10" customWidth="1"/>
    <col min="15094" max="15094" width="4.44140625" style="10" customWidth="1"/>
    <col min="15095" max="15095" width="4" style="10" customWidth="1"/>
    <col min="15096" max="15096" width="2.44140625" style="10" customWidth="1"/>
    <col min="15097" max="15097" width="46.109375" style="10" customWidth="1"/>
    <col min="15098" max="15099" width="12.5546875" style="10" customWidth="1"/>
    <col min="15100" max="15100" width="11.109375" style="10" customWidth="1"/>
    <col min="15101" max="15101" width="12.109375" style="10" customWidth="1"/>
    <col min="15102" max="15102" width="2.88671875" style="10" customWidth="1"/>
    <col min="15103" max="15103" width="12.5546875" style="10" customWidth="1"/>
    <col min="15104" max="15104" width="12.44140625" style="10" customWidth="1"/>
    <col min="15105" max="15105" width="11.109375" style="10" customWidth="1"/>
    <col min="15106" max="15106" width="12.88671875" style="10" customWidth="1"/>
    <col min="15107" max="15107" width="12.44140625" style="10" customWidth="1"/>
    <col min="15108" max="15347" width="12.44140625" style="10"/>
    <col min="15348" max="15348" width="4.6640625" style="10" customWidth="1"/>
    <col min="15349" max="15349" width="4.5546875" style="10" customWidth="1"/>
    <col min="15350" max="15350" width="4.44140625" style="10" customWidth="1"/>
    <col min="15351" max="15351" width="4" style="10" customWidth="1"/>
    <col min="15352" max="15352" width="2.44140625" style="10" customWidth="1"/>
    <col min="15353" max="15353" width="46.109375" style="10" customWidth="1"/>
    <col min="15354" max="15355" width="12.5546875" style="10" customWidth="1"/>
    <col min="15356" max="15356" width="11.109375" style="10" customWidth="1"/>
    <col min="15357" max="15357" width="12.109375" style="10" customWidth="1"/>
    <col min="15358" max="15358" width="2.88671875" style="10" customWidth="1"/>
    <col min="15359" max="15359" width="12.5546875" style="10" customWidth="1"/>
    <col min="15360" max="15360" width="12.44140625" style="10" customWidth="1"/>
    <col min="15361" max="15361" width="11.109375" style="10" customWidth="1"/>
    <col min="15362" max="15362" width="12.88671875" style="10" customWidth="1"/>
    <col min="15363" max="15363" width="12.44140625" style="10" customWidth="1"/>
    <col min="15364" max="15603" width="12.44140625" style="10"/>
    <col min="15604" max="15604" width="4.6640625" style="10" customWidth="1"/>
    <col min="15605" max="15605" width="4.5546875" style="10" customWidth="1"/>
    <col min="15606" max="15606" width="4.44140625" style="10" customWidth="1"/>
    <col min="15607" max="15607" width="4" style="10" customWidth="1"/>
    <col min="15608" max="15608" width="2.44140625" style="10" customWidth="1"/>
    <col min="15609" max="15609" width="46.109375" style="10" customWidth="1"/>
    <col min="15610" max="15611" width="12.5546875" style="10" customWidth="1"/>
    <col min="15612" max="15612" width="11.109375" style="10" customWidth="1"/>
    <col min="15613" max="15613" width="12.109375" style="10" customWidth="1"/>
    <col min="15614" max="15614" width="2.88671875" style="10" customWidth="1"/>
    <col min="15615" max="15615" width="12.5546875" style="10" customWidth="1"/>
    <col min="15616" max="15616" width="12.44140625" style="10" customWidth="1"/>
    <col min="15617" max="15617" width="11.109375" style="10" customWidth="1"/>
    <col min="15618" max="15618" width="12.88671875" style="10" customWidth="1"/>
    <col min="15619" max="15619" width="12.44140625" style="10" customWidth="1"/>
    <col min="15620" max="15859" width="12.44140625" style="10"/>
    <col min="15860" max="15860" width="4.6640625" style="10" customWidth="1"/>
    <col min="15861" max="15861" width="4.5546875" style="10" customWidth="1"/>
    <col min="15862" max="15862" width="4.44140625" style="10" customWidth="1"/>
    <col min="15863" max="15863" width="4" style="10" customWidth="1"/>
    <col min="15864" max="15864" width="2.44140625" style="10" customWidth="1"/>
    <col min="15865" max="15865" width="46.109375" style="10" customWidth="1"/>
    <col min="15866" max="15867" width="12.5546875" style="10" customWidth="1"/>
    <col min="15868" max="15868" width="11.109375" style="10" customWidth="1"/>
    <col min="15869" max="15869" width="12.109375" style="10" customWidth="1"/>
    <col min="15870" max="15870" width="2.88671875" style="10" customWidth="1"/>
    <col min="15871" max="15871" width="12.5546875" style="10" customWidth="1"/>
    <col min="15872" max="15872" width="12.44140625" style="10" customWidth="1"/>
    <col min="15873" max="15873" width="11.109375" style="10" customWidth="1"/>
    <col min="15874" max="15874" width="12.88671875" style="10" customWidth="1"/>
    <col min="15875" max="15875" width="12.44140625" style="10" customWidth="1"/>
    <col min="15876" max="16115" width="12.44140625" style="10"/>
    <col min="16116" max="16116" width="4.6640625" style="10" customWidth="1"/>
    <col min="16117" max="16117" width="4.5546875" style="10" customWidth="1"/>
    <col min="16118" max="16118" width="4.44140625" style="10" customWidth="1"/>
    <col min="16119" max="16119" width="4" style="10" customWidth="1"/>
    <col min="16120" max="16120" width="2.44140625" style="10" customWidth="1"/>
    <col min="16121" max="16121" width="46.109375" style="10" customWidth="1"/>
    <col min="16122" max="16123" width="12.5546875" style="10" customWidth="1"/>
    <col min="16124" max="16124" width="11.109375" style="10" customWidth="1"/>
    <col min="16125" max="16125" width="12.109375" style="10" customWidth="1"/>
    <col min="16126" max="16126" width="2.88671875" style="10" customWidth="1"/>
    <col min="16127" max="16127" width="12.5546875" style="10" customWidth="1"/>
    <col min="16128" max="16128" width="12.44140625" style="10" customWidth="1"/>
    <col min="16129" max="16129" width="11.109375" style="10" customWidth="1"/>
    <col min="16130" max="16130" width="12.88671875" style="10" customWidth="1"/>
    <col min="16131" max="16131" width="12.44140625" style="10" customWidth="1"/>
    <col min="16132" max="16384" width="12.44140625" style="10"/>
  </cols>
  <sheetData>
    <row r="1" spans="2:17" ht="21">
      <c r="B1" s="252" t="s">
        <v>95</v>
      </c>
      <c r="C1" s="252"/>
      <c r="D1" s="252"/>
      <c r="E1" s="252"/>
      <c r="F1" s="252"/>
      <c r="G1" s="252"/>
      <c r="H1" s="252"/>
      <c r="I1" s="252"/>
      <c r="J1" s="252"/>
      <c r="K1" s="252"/>
      <c r="L1" s="252"/>
      <c r="M1" s="252"/>
      <c r="N1" s="252"/>
      <c r="O1" s="252"/>
    </row>
    <row r="2" spans="2:17" ht="16.5" customHeight="1">
      <c r="B2" s="253" t="s">
        <v>49</v>
      </c>
      <c r="C2" s="253"/>
      <c r="D2" s="253"/>
      <c r="E2" s="253"/>
      <c r="F2" s="253"/>
      <c r="G2" s="253"/>
      <c r="H2" s="253"/>
      <c r="I2" s="253"/>
      <c r="J2" s="253"/>
      <c r="K2" s="253"/>
      <c r="L2" s="253"/>
      <c r="M2" s="253"/>
      <c r="N2" s="253"/>
      <c r="O2" s="253"/>
    </row>
    <row r="3" spans="2:17" ht="3.75" customHeight="1">
      <c r="B3" s="11"/>
      <c r="C3" s="11"/>
      <c r="D3" s="11"/>
      <c r="E3" s="11"/>
      <c r="F3" s="11"/>
      <c r="G3" s="11"/>
      <c r="H3" s="71"/>
      <c r="I3" s="11"/>
      <c r="J3" s="11"/>
      <c r="K3" s="11"/>
      <c r="L3" s="11"/>
      <c r="M3" s="88"/>
      <c r="N3" s="11"/>
      <c r="O3" s="11"/>
    </row>
    <row r="4" spans="2:17">
      <c r="G4" s="254" t="s">
        <v>44</v>
      </c>
      <c r="H4" s="254"/>
      <c r="I4" s="254" t="s">
        <v>45</v>
      </c>
      <c r="J4" s="254"/>
      <c r="K4" s="11"/>
      <c r="L4" s="255" t="s">
        <v>46</v>
      </c>
      <c r="M4" s="255"/>
      <c r="N4" s="254" t="s">
        <v>45</v>
      </c>
      <c r="O4" s="254"/>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3.8"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3.8"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3.8"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3.8"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3.8"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3.8"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3.8"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3.8"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3.8"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3.8"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3.8"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3.8"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3.8"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3.8"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3.8"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3.8"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4.4">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4.4"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7.399999999999999">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4.4"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4.4"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4.4"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4.4"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4.4"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4.4"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4.4"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4.4"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4.4"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4.4"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4.4"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4.4"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4.4"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4.4"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4.4"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4.4"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4.4"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4.4"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4.4"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4.4"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4.4"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4.4"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4.4"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4.4"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4.4"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7.399999999999999"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7.399999999999999"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3.8"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3.8"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3.8"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3.8"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3.8"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3.8"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3.8"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3.8"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3.8"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3.8"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7.399999999999999">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7.399999999999999">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250" t="s">
        <v>105</v>
      </c>
      <c r="C126" s="250"/>
      <c r="D126" s="250"/>
      <c r="E126" s="250"/>
      <c r="F126" s="250"/>
      <c r="G126" s="250"/>
      <c r="H126" s="250"/>
      <c r="I126" s="250"/>
      <c r="J126" s="250"/>
      <c r="K126" s="250"/>
      <c r="L126" s="250"/>
      <c r="M126" s="250"/>
      <c r="N126" s="250"/>
      <c r="O126" s="250"/>
      <c r="R126" s="68"/>
      <c r="S126" s="68"/>
      <c r="T126" s="68"/>
      <c r="U126" s="68"/>
      <c r="V126" s="68"/>
      <c r="W126" s="68"/>
      <c r="X126" s="68"/>
      <c r="Y126" s="68"/>
      <c r="Z126" s="68"/>
      <c r="AA126" s="68"/>
      <c r="AB126" s="68"/>
      <c r="AC126" s="68"/>
      <c r="AD126" s="68"/>
      <c r="AE126" s="68"/>
      <c r="AF126" s="68"/>
    </row>
    <row r="127" spans="2:32" s="69" customFormat="1" ht="24" customHeight="1">
      <c r="B127" s="250"/>
      <c r="C127" s="250"/>
      <c r="D127" s="250"/>
      <c r="E127" s="250"/>
      <c r="F127" s="250"/>
      <c r="G127" s="250"/>
      <c r="H127" s="250"/>
      <c r="I127" s="250"/>
      <c r="J127" s="250"/>
      <c r="K127" s="250"/>
      <c r="L127" s="250"/>
      <c r="M127" s="250"/>
      <c r="N127" s="250"/>
      <c r="O127" s="250"/>
      <c r="Q127" s="70"/>
      <c r="R127" s="68"/>
      <c r="S127" s="68"/>
      <c r="T127" s="68"/>
      <c r="U127" s="68"/>
      <c r="V127" s="68"/>
      <c r="W127" s="68"/>
      <c r="X127" s="68"/>
      <c r="Y127" s="68"/>
      <c r="Z127" s="68"/>
      <c r="AA127" s="68"/>
      <c r="AB127" s="68"/>
      <c r="AC127" s="68"/>
      <c r="AD127" s="68"/>
      <c r="AE127" s="68"/>
      <c r="AF127" s="68"/>
    </row>
    <row r="128" spans="2:32" s="69" customFormat="1" ht="15" customHeight="1">
      <c r="B128" s="61"/>
      <c r="C128" s="251" t="s">
        <v>64</v>
      </c>
      <c r="D128" s="251"/>
      <c r="E128" s="251"/>
      <c r="F128" s="251"/>
      <c r="G128" s="251"/>
      <c r="H128" s="251"/>
      <c r="I128" s="251"/>
      <c r="J128" s="251"/>
      <c r="K128" s="251"/>
      <c r="L128" s="251"/>
      <c r="M128" s="251"/>
      <c r="N128" s="251"/>
      <c r="O128" s="251"/>
      <c r="Q128" s="91"/>
      <c r="R128" s="47"/>
      <c r="S128" s="51"/>
      <c r="T128" s="51"/>
      <c r="U128" s="68"/>
      <c r="V128" s="68"/>
      <c r="W128" s="68"/>
      <c r="X128" s="68"/>
      <c r="Y128" s="68"/>
      <c r="Z128" s="68"/>
      <c r="AA128" s="68"/>
      <c r="AB128" s="68"/>
      <c r="AC128" s="68"/>
      <c r="AD128" s="68"/>
      <c r="AE128" s="68"/>
      <c r="AF128" s="68"/>
    </row>
    <row r="129" spans="2:32" s="69" customFormat="1" ht="17.399999999999999">
      <c r="B129" s="61"/>
      <c r="C129" s="251"/>
      <c r="D129" s="251"/>
      <c r="E129" s="251"/>
      <c r="F129" s="251"/>
      <c r="G129" s="251"/>
      <c r="H129" s="251"/>
      <c r="I129" s="251"/>
      <c r="J129" s="251"/>
      <c r="K129" s="251"/>
      <c r="L129" s="251"/>
      <c r="M129" s="251"/>
      <c r="N129" s="251"/>
      <c r="O129" s="251"/>
      <c r="R129" s="68"/>
      <c r="S129" s="68"/>
      <c r="T129" s="68"/>
      <c r="U129" s="68"/>
      <c r="V129" s="68"/>
      <c r="W129" s="68"/>
      <c r="X129" s="68"/>
      <c r="Y129" s="68"/>
      <c r="Z129" s="68"/>
      <c r="AA129" s="68"/>
      <c r="AB129" s="68"/>
      <c r="AC129" s="68"/>
      <c r="AD129" s="68"/>
      <c r="AE129" s="68"/>
      <c r="AF129" s="68"/>
    </row>
    <row r="130" spans="2:32" s="69" customFormat="1" ht="15" customHeight="1">
      <c r="B130" s="61"/>
      <c r="C130" s="251" t="s">
        <v>65</v>
      </c>
      <c r="D130" s="251"/>
      <c r="E130" s="251"/>
      <c r="F130" s="251"/>
      <c r="G130" s="251"/>
      <c r="H130" s="251"/>
      <c r="I130" s="251"/>
      <c r="J130" s="251"/>
      <c r="K130" s="251"/>
      <c r="L130" s="251"/>
      <c r="M130" s="251"/>
      <c r="N130" s="251"/>
      <c r="O130" s="251"/>
      <c r="R130" s="68"/>
      <c r="S130" s="68"/>
      <c r="T130" s="68"/>
      <c r="U130" s="68"/>
      <c r="V130" s="68"/>
      <c r="W130" s="68"/>
      <c r="X130" s="68"/>
      <c r="Y130" s="68"/>
      <c r="Z130" s="68"/>
      <c r="AA130" s="68"/>
      <c r="AB130" s="68"/>
      <c r="AC130" s="68"/>
      <c r="AD130" s="68"/>
      <c r="AE130" s="68"/>
      <c r="AF130" s="68"/>
    </row>
    <row r="131" spans="2:32" s="69" customFormat="1" ht="21.75" customHeight="1">
      <c r="B131" s="66"/>
      <c r="C131" s="251"/>
      <c r="D131" s="251"/>
      <c r="E131" s="251"/>
      <c r="F131" s="251"/>
      <c r="G131" s="251"/>
      <c r="H131" s="251"/>
      <c r="I131" s="251"/>
      <c r="J131" s="251"/>
      <c r="K131" s="251"/>
      <c r="L131" s="251"/>
      <c r="M131" s="251"/>
      <c r="N131" s="251"/>
      <c r="O131" s="251"/>
    </row>
    <row r="132" spans="2:32" s="69" customFormat="1" ht="25.5" customHeight="1">
      <c r="B132" s="250" t="s">
        <v>106</v>
      </c>
      <c r="C132" s="250"/>
      <c r="D132" s="250"/>
      <c r="E132" s="250"/>
      <c r="F132" s="250"/>
      <c r="G132" s="250"/>
      <c r="H132" s="250"/>
      <c r="I132" s="250"/>
      <c r="J132" s="250"/>
      <c r="K132" s="250"/>
      <c r="L132" s="250"/>
      <c r="M132" s="250"/>
      <c r="N132" s="250"/>
      <c r="O132" s="250"/>
    </row>
    <row r="133" spans="2:32" s="69" customFormat="1" ht="25.5" customHeight="1">
      <c r="B133" s="250"/>
      <c r="C133" s="250"/>
      <c r="D133" s="250"/>
      <c r="E133" s="250"/>
      <c r="F133" s="250"/>
      <c r="G133" s="250"/>
      <c r="H133" s="250"/>
      <c r="I133" s="250"/>
      <c r="J133" s="250"/>
      <c r="K133" s="250"/>
      <c r="L133" s="250"/>
      <c r="M133" s="250"/>
      <c r="N133" s="250"/>
      <c r="O133" s="250"/>
    </row>
    <row r="134" spans="2:32" ht="16.8">
      <c r="B134" s="118"/>
      <c r="C134" s="51"/>
      <c r="D134" s="49"/>
      <c r="E134" s="50"/>
      <c r="F134" s="47"/>
      <c r="G134" s="47"/>
      <c r="H134" s="87"/>
      <c r="I134" s="47"/>
      <c r="J134" s="47"/>
      <c r="K134" s="47"/>
      <c r="L134" s="47"/>
      <c r="N134" s="47"/>
      <c r="O134" s="47"/>
    </row>
    <row r="135" spans="2:32" ht="16.8">
      <c r="B135" s="81"/>
    </row>
    <row r="136" spans="2:32" ht="16.8">
      <c r="B136" s="81"/>
    </row>
    <row r="137" spans="2:32" ht="16.8">
      <c r="B137" s="82"/>
    </row>
    <row r="138" spans="2:32" ht="16.8">
      <c r="B138" s="81"/>
    </row>
    <row r="139" spans="2:32" ht="16.8">
      <c r="B139" s="81"/>
    </row>
    <row r="140" spans="2:32" ht="16.8">
      <c r="B140" s="81"/>
    </row>
    <row r="141" spans="2:32" ht="16.8">
      <c r="B141" s="83"/>
    </row>
    <row r="142" spans="2:32" ht="16.8">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FB77-5FA3-4340-8C18-6313BD40329B}">
  <sheetPr>
    <pageSetUpPr fitToPage="1"/>
  </sheetPr>
  <dimension ref="A1:Q80"/>
  <sheetViews>
    <sheetView showGridLines="0" tabSelected="1" zoomScaleNormal="100" workbookViewId="0"/>
  </sheetViews>
  <sheetFormatPr baseColWidth="10" defaultColWidth="11.44140625" defaultRowHeight="15.6" outlineLevelRow="1"/>
  <cols>
    <col min="1" max="1" width="2.33203125" style="126" customWidth="1"/>
    <col min="2" max="2" width="3" style="131" customWidth="1"/>
    <col min="3" max="3" width="4.44140625" style="131" customWidth="1"/>
    <col min="4" max="4" width="4" style="132" customWidth="1"/>
    <col min="5" max="5" width="2.44140625" style="133" customWidth="1"/>
    <col min="6" max="6" width="26.109375" style="155" customWidth="1"/>
    <col min="7" max="7" width="16.5546875" style="127" bestFit="1" customWidth="1"/>
    <col min="8" max="8" width="13.33203125" style="128" customWidth="1"/>
    <col min="9" max="9" width="11.44140625" style="126"/>
    <col min="10" max="10" width="12.44140625" style="129" bestFit="1" customWidth="1"/>
    <col min="11" max="17" width="11.44140625" style="126"/>
    <col min="18" max="16384" width="11.44140625" style="130"/>
  </cols>
  <sheetData>
    <row r="1" spans="2:10" s="131" customFormat="1" ht="21">
      <c r="C1" s="259"/>
      <c r="D1" s="259"/>
      <c r="E1" s="259"/>
      <c r="F1" s="259"/>
      <c r="G1" s="259"/>
      <c r="H1" s="259"/>
      <c r="I1" s="259"/>
      <c r="J1" s="259"/>
    </row>
    <row r="2" spans="2:10" s="131" customFormat="1" ht="16.5" customHeight="1">
      <c r="C2" s="256" t="s">
        <v>119</v>
      </c>
      <c r="D2" s="256"/>
      <c r="E2" s="256"/>
      <c r="F2" s="256"/>
      <c r="G2" s="256"/>
      <c r="H2" s="256"/>
      <c r="I2" s="256"/>
      <c r="J2" s="256"/>
    </row>
    <row r="3" spans="2:10" s="131" customFormat="1" ht="3.75" customHeight="1">
      <c r="G3" s="260"/>
      <c r="H3" s="156"/>
      <c r="J3" s="261"/>
    </row>
    <row r="4" spans="2:10" s="131" customFormat="1">
      <c r="E4" s="132"/>
      <c r="F4" s="133"/>
      <c r="G4" s="155" t="s">
        <v>44</v>
      </c>
      <c r="H4" s="155"/>
      <c r="I4" s="155" t="s">
        <v>45</v>
      </c>
      <c r="J4" s="155"/>
    </row>
    <row r="5" spans="2:10" s="131" customFormat="1" ht="15.75" customHeight="1">
      <c r="E5" s="132"/>
      <c r="F5" s="133"/>
      <c r="G5" s="134">
        <v>45870</v>
      </c>
      <c r="H5" s="134">
        <v>45505</v>
      </c>
      <c r="I5" s="135" t="s">
        <v>47</v>
      </c>
      <c r="J5" s="136" t="s">
        <v>48</v>
      </c>
    </row>
    <row r="6" spans="2:10" s="131" customFormat="1" ht="6" customHeight="1">
      <c r="C6" s="137"/>
      <c r="D6" s="137"/>
      <c r="E6" s="137"/>
      <c r="F6" s="138"/>
      <c r="G6" s="139"/>
      <c r="H6" s="140"/>
      <c r="I6" s="135"/>
      <c r="J6" s="141"/>
    </row>
    <row r="7" spans="2:10">
      <c r="B7" s="142" t="s">
        <v>0</v>
      </c>
      <c r="C7" s="142"/>
      <c r="D7" s="142"/>
      <c r="E7" s="142"/>
      <c r="F7" s="142"/>
      <c r="G7" s="143">
        <v>11366068</v>
      </c>
      <c r="H7" s="143">
        <v>8748466.8999999985</v>
      </c>
      <c r="I7" s="144">
        <v>0.29920683588572561</v>
      </c>
      <c r="J7" s="145">
        <v>2617601.1000000015</v>
      </c>
    </row>
    <row r="8" spans="2:10" ht="14.4">
      <c r="B8" s="146"/>
      <c r="C8" s="146" t="s">
        <v>1</v>
      </c>
      <c r="D8" s="146"/>
      <c r="E8" s="146"/>
      <c r="F8" s="146"/>
      <c r="G8" s="147">
        <v>10230957.4</v>
      </c>
      <c r="H8" s="147">
        <v>8139052.7999999989</v>
      </c>
      <c r="I8" s="148">
        <v>0.25702064495760513</v>
      </c>
      <c r="J8" s="149">
        <v>2091904.6000000015</v>
      </c>
    </row>
    <row r="9" spans="2:10" ht="14.4" hidden="1" customHeight="1" outlineLevel="1">
      <c r="B9" s="150"/>
      <c r="C9" s="150"/>
      <c r="D9" s="150" t="s">
        <v>2</v>
      </c>
      <c r="E9" s="150"/>
      <c r="F9" s="150"/>
      <c r="G9" s="151">
        <v>2408371.9000000004</v>
      </c>
      <c r="H9" s="151">
        <v>1791168.9</v>
      </c>
      <c r="I9" s="152">
        <v>0.34458112799971041</v>
      </c>
      <c r="J9" s="153">
        <v>617203.00000000047</v>
      </c>
    </row>
    <row r="10" spans="2:10" ht="14.4" hidden="1" customHeight="1" outlineLevel="1">
      <c r="B10" s="150"/>
      <c r="C10" s="150"/>
      <c r="D10" s="150" t="s">
        <v>3</v>
      </c>
      <c r="E10" s="150"/>
      <c r="F10" s="150"/>
      <c r="G10" s="151">
        <v>1080636.1000000001</v>
      </c>
      <c r="H10" s="151">
        <v>770457.70000000007</v>
      </c>
      <c r="I10" s="152">
        <v>0.40258978526660183</v>
      </c>
      <c r="J10" s="153">
        <v>310178.40000000002</v>
      </c>
    </row>
    <row r="11" spans="2:10" ht="14.4" hidden="1" customHeight="1" outlineLevel="1">
      <c r="B11" s="150"/>
      <c r="C11" s="150"/>
      <c r="D11" s="150" t="s">
        <v>52</v>
      </c>
      <c r="E11" s="150"/>
      <c r="F11" s="150"/>
      <c r="G11" s="151">
        <v>3765602.9</v>
      </c>
      <c r="H11" s="151">
        <v>2664023.6</v>
      </c>
      <c r="I11" s="152">
        <v>0.41350208008667777</v>
      </c>
      <c r="J11" s="153">
        <v>1101579.2999999998</v>
      </c>
    </row>
    <row r="12" spans="2:10" ht="14.4" hidden="1" customHeight="1" outlineLevel="1">
      <c r="B12" s="150"/>
      <c r="C12" s="150"/>
      <c r="D12" s="150" t="s">
        <v>4</v>
      </c>
      <c r="E12" s="150"/>
      <c r="F12" s="150"/>
      <c r="G12" s="151">
        <v>1228328.3999999999</v>
      </c>
      <c r="H12" s="151">
        <v>905096.2</v>
      </c>
      <c r="I12" s="152">
        <v>0.35712469017105586</v>
      </c>
      <c r="J12" s="153">
        <v>323232.19999999995</v>
      </c>
    </row>
    <row r="13" spans="2:10" ht="14.4" hidden="1" customHeight="1" outlineLevel="1">
      <c r="B13" s="150"/>
      <c r="C13" s="150"/>
      <c r="D13" s="150" t="s">
        <v>5</v>
      </c>
      <c r="E13" s="150"/>
      <c r="F13" s="150"/>
      <c r="G13" s="151">
        <v>42856.3</v>
      </c>
      <c r="H13" s="151">
        <v>110409.1</v>
      </c>
      <c r="I13" s="152">
        <v>-0.6118408718121966</v>
      </c>
      <c r="J13" s="153">
        <v>-67552.800000000003</v>
      </c>
    </row>
    <row r="14" spans="2:10" ht="14.4" hidden="1" customHeight="1" outlineLevel="1">
      <c r="B14" s="150"/>
      <c r="C14" s="150"/>
      <c r="D14" s="150" t="s">
        <v>6</v>
      </c>
      <c r="E14" s="150"/>
      <c r="F14" s="150"/>
      <c r="G14" s="151">
        <v>136610.29999999999</v>
      </c>
      <c r="H14" s="151">
        <v>124033.3</v>
      </c>
      <c r="I14" s="152">
        <v>0.10140018849776622</v>
      </c>
      <c r="J14" s="153">
        <v>12576.999999999985</v>
      </c>
    </row>
    <row r="15" spans="2:10" ht="14.4" hidden="1" customHeight="1" outlineLevel="1">
      <c r="B15" s="150"/>
      <c r="C15" s="150"/>
      <c r="D15" s="150" t="s">
        <v>7</v>
      </c>
      <c r="E15" s="150"/>
      <c r="F15" s="150"/>
      <c r="G15" s="151">
        <v>406573.69999999995</v>
      </c>
      <c r="H15" s="151">
        <v>433867.1</v>
      </c>
      <c r="I15" s="152">
        <v>-6.2907281976439355E-2</v>
      </c>
      <c r="J15" s="153">
        <v>-27293.400000000023</v>
      </c>
    </row>
    <row r="16" spans="2:10" ht="14.4" hidden="1" customHeight="1" outlineLevel="1">
      <c r="B16" s="150"/>
      <c r="C16" s="150"/>
      <c r="D16" s="150" t="s">
        <v>8</v>
      </c>
      <c r="E16" s="150"/>
      <c r="F16" s="150"/>
      <c r="G16" s="151">
        <v>470676.9</v>
      </c>
      <c r="H16" s="151">
        <v>259563.5</v>
      </c>
      <c r="I16" s="152">
        <v>0.81334008826356574</v>
      </c>
      <c r="J16" s="153">
        <v>211113.40000000002</v>
      </c>
    </row>
    <row r="17" spans="2:10" ht="14.4" hidden="1" customHeight="1" outlineLevel="1">
      <c r="B17" s="150"/>
      <c r="C17" s="150"/>
      <c r="D17" s="150" t="s">
        <v>117</v>
      </c>
      <c r="E17" s="150"/>
      <c r="F17" s="150"/>
      <c r="G17" s="151">
        <v>691300.9</v>
      </c>
      <c r="H17" s="151">
        <v>1080433.3999999999</v>
      </c>
      <c r="I17" s="152">
        <v>-0.36016333815670631</v>
      </c>
      <c r="J17" s="153">
        <v>-389132.49999999988</v>
      </c>
    </row>
    <row r="18" spans="2:10" ht="14.4" collapsed="1">
      <c r="B18" s="146"/>
      <c r="C18" s="146" t="s">
        <v>116</v>
      </c>
      <c r="D18" s="146"/>
      <c r="E18" s="146"/>
      <c r="F18" s="146"/>
      <c r="G18" s="147">
        <v>566743</v>
      </c>
      <c r="H18" s="147">
        <v>257947.1</v>
      </c>
      <c r="I18" s="148">
        <v>1.197128791135857</v>
      </c>
      <c r="J18" s="149">
        <v>308795.90000000002</v>
      </c>
    </row>
    <row r="19" spans="2:10" ht="14.4" hidden="1" customHeight="1" outlineLevel="1">
      <c r="B19" s="150"/>
      <c r="C19" s="150"/>
      <c r="D19" s="150" t="s">
        <v>111</v>
      </c>
      <c r="E19" s="150"/>
      <c r="F19" s="150"/>
      <c r="G19" s="151">
        <v>15355.300000000003</v>
      </c>
      <c r="H19" s="151">
        <v>61618.1</v>
      </c>
      <c r="I19" s="152">
        <v>-0.75079887240924337</v>
      </c>
      <c r="J19" s="154">
        <v>-46262.799999999996</v>
      </c>
    </row>
    <row r="20" spans="2:10" ht="14.4" hidden="1" customHeight="1" outlineLevel="1">
      <c r="B20" s="150"/>
      <c r="C20" s="150"/>
      <c r="D20" s="150" t="s">
        <v>10</v>
      </c>
      <c r="E20" s="150"/>
      <c r="F20" s="150"/>
      <c r="G20" s="151">
        <v>551387.69999999995</v>
      </c>
      <c r="H20" s="151">
        <v>196329</v>
      </c>
      <c r="I20" s="152">
        <v>1.8084883027978544</v>
      </c>
      <c r="J20" s="154">
        <v>355058.69999999995</v>
      </c>
    </row>
    <row r="21" spans="2:10" ht="14.4" collapsed="1">
      <c r="B21" s="146"/>
      <c r="C21" s="146" t="s">
        <v>11</v>
      </c>
      <c r="D21" s="146"/>
      <c r="E21" s="146"/>
      <c r="F21" s="146"/>
      <c r="G21" s="147">
        <v>568011.30000000005</v>
      </c>
      <c r="H21" s="147">
        <v>351452.1</v>
      </c>
      <c r="I21" s="148">
        <v>0.61618411157594477</v>
      </c>
      <c r="J21" s="149">
        <v>216559.20000000007</v>
      </c>
    </row>
    <row r="22" spans="2:10" ht="14.4" hidden="1" customHeight="1" outlineLevel="1">
      <c r="B22" s="150"/>
      <c r="C22" s="150"/>
      <c r="D22" s="150" t="s">
        <v>12</v>
      </c>
      <c r="E22" s="150"/>
      <c r="F22" s="150"/>
      <c r="G22" s="151">
        <v>352963.5</v>
      </c>
      <c r="H22" s="151">
        <v>269414.39999999997</v>
      </c>
      <c r="I22" s="152">
        <v>0.31011371329817572</v>
      </c>
      <c r="J22" s="154">
        <v>83549.100000000035</v>
      </c>
    </row>
    <row r="23" spans="2:10" ht="14.4" hidden="1" customHeight="1" outlineLevel="1">
      <c r="B23" s="150"/>
      <c r="C23" s="150"/>
      <c r="D23" s="150" t="s">
        <v>13</v>
      </c>
      <c r="E23" s="150"/>
      <c r="F23" s="150"/>
      <c r="G23" s="151">
        <v>10803.699999999999</v>
      </c>
      <c r="H23" s="151">
        <v>30946.799999999999</v>
      </c>
      <c r="I23" s="152">
        <v>-0.65089443819716419</v>
      </c>
      <c r="J23" s="154">
        <v>-20143.099999999999</v>
      </c>
    </row>
    <row r="24" spans="2:10" ht="14.4" hidden="1" customHeight="1" outlineLevel="1">
      <c r="B24" s="150"/>
      <c r="C24" s="150"/>
      <c r="D24" s="150" t="s">
        <v>14</v>
      </c>
      <c r="E24" s="150"/>
      <c r="F24" s="150"/>
      <c r="G24" s="151">
        <v>204244.09999999998</v>
      </c>
      <c r="H24" s="151">
        <v>51090.900000000009</v>
      </c>
      <c r="I24" s="152">
        <v>2.997661031612282</v>
      </c>
      <c r="J24" s="154">
        <v>153153.19999999995</v>
      </c>
    </row>
    <row r="25" spans="2:10" ht="14.4" collapsed="1">
      <c r="B25" s="146"/>
      <c r="C25" s="146" t="s">
        <v>15</v>
      </c>
      <c r="D25" s="146"/>
      <c r="E25" s="146"/>
      <c r="F25" s="146"/>
      <c r="G25" s="147">
        <v>356.30000000000018</v>
      </c>
      <c r="H25" s="147">
        <v>14.900000000001455</v>
      </c>
      <c r="I25" s="148">
        <v>22.912751677850025</v>
      </c>
      <c r="J25" s="149">
        <v>341.39999999999873</v>
      </c>
    </row>
    <row r="26" spans="2:10">
      <c r="G26" s="151"/>
      <c r="H26" s="151"/>
      <c r="I26" s="152"/>
      <c r="J26" s="154"/>
    </row>
    <row r="27" spans="2:10">
      <c r="B27" s="142" t="s">
        <v>16</v>
      </c>
      <c r="C27" s="142"/>
      <c r="D27" s="142"/>
      <c r="E27" s="142"/>
      <c r="F27" s="142"/>
      <c r="G27" s="143">
        <v>9809204</v>
      </c>
      <c r="H27" s="143">
        <v>7848806.9000000004</v>
      </c>
      <c r="I27" s="144">
        <v>0.24977007651952809</v>
      </c>
      <c r="J27" s="145">
        <v>1960397.0999999996</v>
      </c>
    </row>
    <row r="28" spans="2:10" ht="14.4">
      <c r="B28" s="146"/>
      <c r="C28" s="146" t="s">
        <v>17</v>
      </c>
      <c r="D28" s="146"/>
      <c r="E28" s="146"/>
      <c r="F28" s="146"/>
      <c r="G28" s="147">
        <v>9596914.5999999996</v>
      </c>
      <c r="H28" s="147">
        <v>7595887.2000000002</v>
      </c>
      <c r="I28" s="148">
        <v>0.26343563922328905</v>
      </c>
      <c r="J28" s="149">
        <v>2001027.3999999994</v>
      </c>
    </row>
    <row r="29" spans="2:10">
      <c r="B29" s="156"/>
      <c r="C29" s="156" t="s">
        <v>41</v>
      </c>
      <c r="D29" s="157"/>
      <c r="E29" s="158"/>
      <c r="F29" s="159"/>
      <c r="G29" s="160">
        <v>6281982.5</v>
      </c>
      <c r="H29" s="160">
        <v>4568934.5999999996</v>
      </c>
      <c r="I29" s="161">
        <v>0.37493377558960916</v>
      </c>
      <c r="J29" s="162">
        <v>1713047.9000000004</v>
      </c>
    </row>
    <row r="30" spans="2:10" ht="14.4" hidden="1" customHeight="1" outlineLevel="1">
      <c r="B30" s="150"/>
      <c r="C30" s="150"/>
      <c r="D30" s="150" t="s">
        <v>18</v>
      </c>
      <c r="E30" s="150"/>
      <c r="F30" s="150"/>
      <c r="G30" s="151">
        <v>4141615.6999999997</v>
      </c>
      <c r="H30" s="151">
        <v>2843270.8</v>
      </c>
      <c r="I30" s="152">
        <v>0.45663779194018383</v>
      </c>
      <c r="J30" s="154">
        <v>1298344.8999999999</v>
      </c>
    </row>
    <row r="31" spans="2:10" ht="14.4" hidden="1" customHeight="1" outlineLevel="1">
      <c r="B31" s="150"/>
      <c r="C31" s="150"/>
      <c r="D31" s="150" t="s">
        <v>53</v>
      </c>
      <c r="E31" s="150"/>
      <c r="F31" s="150"/>
      <c r="G31" s="151">
        <v>469953.4</v>
      </c>
      <c r="H31" s="151">
        <v>323076</v>
      </c>
      <c r="I31" s="152">
        <v>0.4546218227290173</v>
      </c>
      <c r="J31" s="154">
        <v>146877.40000000002</v>
      </c>
    </row>
    <row r="32" spans="2:10" ht="14.4" hidden="1" customHeight="1" outlineLevel="1">
      <c r="B32" s="150"/>
      <c r="C32" s="150"/>
      <c r="D32" s="150" t="s">
        <v>54</v>
      </c>
      <c r="E32" s="150"/>
      <c r="F32" s="150"/>
      <c r="G32" s="151">
        <v>218809</v>
      </c>
      <c r="H32" s="151">
        <v>177262.5</v>
      </c>
      <c r="I32" s="152">
        <v>0.23437839362527324</v>
      </c>
      <c r="J32" s="154">
        <v>41546.5</v>
      </c>
    </row>
    <row r="33" spans="2:10" ht="14.4" hidden="1" customHeight="1" outlineLevel="1">
      <c r="B33" s="150"/>
      <c r="C33" s="150"/>
      <c r="D33" s="150" t="s">
        <v>19</v>
      </c>
      <c r="E33" s="150"/>
      <c r="F33" s="150"/>
      <c r="G33" s="151">
        <v>327204.90000000002</v>
      </c>
      <c r="H33" s="151">
        <v>275261.09999999998</v>
      </c>
      <c r="I33" s="152">
        <v>0.1887073763782825</v>
      </c>
      <c r="J33" s="154">
        <v>51943.800000000047</v>
      </c>
    </row>
    <row r="34" spans="2:10" ht="14.4" hidden="1" customHeight="1" outlineLevel="1">
      <c r="B34" s="150"/>
      <c r="C34" s="150"/>
      <c r="D34" s="150" t="s">
        <v>42</v>
      </c>
      <c r="E34" s="150"/>
      <c r="F34" s="150"/>
      <c r="G34" s="151">
        <v>609077.80000000005</v>
      </c>
      <c r="H34" s="151">
        <v>388099.8</v>
      </c>
      <c r="I34" s="152">
        <v>0.56938447275674986</v>
      </c>
      <c r="J34" s="154">
        <v>220978.00000000006</v>
      </c>
    </row>
    <row r="35" spans="2:10" ht="14.4" hidden="1" customHeight="1" outlineLevel="1">
      <c r="B35" s="150"/>
      <c r="C35" s="150"/>
      <c r="D35" s="150" t="s">
        <v>113</v>
      </c>
      <c r="E35" s="150"/>
      <c r="F35" s="150"/>
      <c r="G35" s="151">
        <v>515321.69999999995</v>
      </c>
      <c r="H35" s="151">
        <v>561964.4</v>
      </c>
      <c r="I35" s="152">
        <v>-8.2999385726213348E-2</v>
      </c>
      <c r="J35" s="154">
        <v>-46642.70000000007</v>
      </c>
    </row>
    <row r="36" spans="2:10" collapsed="1">
      <c r="B36" s="156"/>
      <c r="C36" s="156" t="s">
        <v>21</v>
      </c>
      <c r="D36" s="157"/>
      <c r="E36" s="158"/>
      <c r="F36" s="159"/>
      <c r="G36" s="160">
        <v>929330.60000000009</v>
      </c>
      <c r="H36" s="160">
        <v>1144263.5</v>
      </c>
      <c r="I36" s="161">
        <v>-0.18783514461485484</v>
      </c>
      <c r="J36" s="162">
        <v>-214932.89999999991</v>
      </c>
    </row>
    <row r="37" spans="2:10" ht="14.4" outlineLevel="1">
      <c r="B37" s="150"/>
      <c r="C37" s="150"/>
      <c r="D37" s="150" t="s">
        <v>22</v>
      </c>
      <c r="E37" s="150"/>
      <c r="F37" s="150"/>
      <c r="G37" s="151">
        <v>704710.5</v>
      </c>
      <c r="H37" s="151">
        <v>870817.89999999991</v>
      </c>
      <c r="I37" s="152">
        <v>-0.19074872025483158</v>
      </c>
      <c r="J37" s="154">
        <v>-166107.39999999991</v>
      </c>
    </row>
    <row r="38" spans="2:10" ht="14.4" outlineLevel="1">
      <c r="B38" s="150"/>
      <c r="C38" s="150"/>
      <c r="D38" s="150" t="s">
        <v>23</v>
      </c>
      <c r="E38" s="150"/>
      <c r="F38" s="150"/>
      <c r="G38" s="151">
        <v>217449.7</v>
      </c>
      <c r="H38" s="151">
        <v>269681.19999999995</v>
      </c>
      <c r="I38" s="152">
        <v>-0.19367868431318147</v>
      </c>
      <c r="J38" s="154">
        <v>-52231.499999999942</v>
      </c>
    </row>
    <row r="39" spans="2:10" ht="14.4" outlineLevel="1">
      <c r="B39" s="150"/>
      <c r="C39" s="150"/>
      <c r="D39" s="150" t="s">
        <v>115</v>
      </c>
      <c r="E39" s="150"/>
      <c r="F39" s="150"/>
      <c r="G39" s="151">
        <v>7170.4</v>
      </c>
      <c r="H39" s="151">
        <v>3764.4</v>
      </c>
      <c r="I39" s="152">
        <v>0.90479226437148008</v>
      </c>
      <c r="J39" s="154">
        <v>3405.9999999999995</v>
      </c>
    </row>
    <row r="40" spans="2:10">
      <c r="B40" s="156"/>
      <c r="C40" s="156" t="s">
        <v>25</v>
      </c>
      <c r="D40" s="157"/>
      <c r="E40" s="158"/>
      <c r="F40" s="159"/>
      <c r="G40" s="160">
        <v>1750483.0999999999</v>
      </c>
      <c r="H40" s="160">
        <v>1385688.5999999999</v>
      </c>
      <c r="I40" s="161">
        <v>0.26325864267051058</v>
      </c>
      <c r="J40" s="162">
        <v>364794.5</v>
      </c>
    </row>
    <row r="41" spans="2:10" ht="14.4" hidden="1" customHeight="1" outlineLevel="1">
      <c r="B41" s="150"/>
      <c r="C41" s="150"/>
      <c r="D41" s="150" t="s">
        <v>26</v>
      </c>
      <c r="E41" s="150"/>
      <c r="F41" s="150"/>
      <c r="G41" s="151">
        <v>1292965.9000000001</v>
      </c>
      <c r="H41" s="151">
        <v>1039966.5</v>
      </c>
      <c r="I41" s="152">
        <v>0.24327649015617347</v>
      </c>
      <c r="J41" s="154">
        <v>252999.40000000014</v>
      </c>
    </row>
    <row r="42" spans="2:10" ht="14.4" hidden="1" customHeight="1" outlineLevel="1">
      <c r="B42" s="150"/>
      <c r="C42" s="150"/>
      <c r="D42" s="150" t="s">
        <v>27</v>
      </c>
      <c r="E42" s="150"/>
      <c r="F42" s="150"/>
      <c r="G42" s="151">
        <v>457517.20000000007</v>
      </c>
      <c r="H42" s="151">
        <v>345722.1</v>
      </c>
      <c r="I42" s="152">
        <v>0.32336694703636271</v>
      </c>
      <c r="J42" s="154">
        <v>111795.10000000009</v>
      </c>
    </row>
    <row r="43" spans="2:10" collapsed="1">
      <c r="B43" s="156"/>
      <c r="C43" s="156" t="s">
        <v>43</v>
      </c>
      <c r="D43" s="157"/>
      <c r="E43" s="158"/>
      <c r="F43" s="159"/>
      <c r="G43" s="160">
        <v>148349.20000000001</v>
      </c>
      <c r="H43" s="160">
        <v>227543.09999999998</v>
      </c>
      <c r="I43" s="161">
        <v>-0.34803911874277871</v>
      </c>
      <c r="J43" s="162">
        <v>-79193.899999999965</v>
      </c>
    </row>
    <row r="44" spans="2:10" ht="14.4" hidden="1" customHeight="1" outlineLevel="1">
      <c r="B44" s="150"/>
      <c r="C44" s="150"/>
      <c r="D44" s="150" t="s">
        <v>29</v>
      </c>
      <c r="E44" s="150"/>
      <c r="F44" s="150"/>
      <c r="G44" s="151">
        <v>34483.700000000004</v>
      </c>
      <c r="H44" s="151">
        <v>82115.8</v>
      </c>
      <c r="I44" s="152">
        <v>-0.58006011023457116</v>
      </c>
      <c r="J44" s="154">
        <v>-47632.1</v>
      </c>
    </row>
    <row r="45" spans="2:10" ht="14.4" hidden="1" customHeight="1" outlineLevel="1">
      <c r="B45" s="150"/>
      <c r="C45" s="150"/>
      <c r="D45" s="150" t="s">
        <v>30</v>
      </c>
      <c r="E45" s="150"/>
      <c r="F45" s="150"/>
      <c r="G45" s="151">
        <v>7000</v>
      </c>
      <c r="H45" s="151">
        <v>0</v>
      </c>
      <c r="I45" s="151" t="e">
        <v>#DIV/0!</v>
      </c>
      <c r="J45" s="154">
        <v>7000</v>
      </c>
    </row>
    <row r="46" spans="2:10" ht="14.4" hidden="1" customHeight="1" outlineLevel="1">
      <c r="B46" s="150"/>
      <c r="C46" s="150"/>
      <c r="D46" s="150" t="s">
        <v>31</v>
      </c>
      <c r="E46" s="150"/>
      <c r="F46" s="150"/>
      <c r="G46" s="151">
        <v>45712.6</v>
      </c>
      <c r="H46" s="151">
        <v>42043.100000000006</v>
      </c>
      <c r="I46" s="152">
        <v>8.7279482245600226E-2</v>
      </c>
      <c r="J46" s="154">
        <v>3669.4999999999927</v>
      </c>
    </row>
    <row r="47" spans="2:10" ht="14.4" hidden="1" customHeight="1" outlineLevel="1">
      <c r="B47" s="150"/>
      <c r="C47" s="150"/>
      <c r="D47" s="150" t="s">
        <v>114</v>
      </c>
      <c r="E47" s="150"/>
      <c r="F47" s="150"/>
      <c r="G47" s="151">
        <v>61152.899999999994</v>
      </c>
      <c r="H47" s="151">
        <v>103384.20000000001</v>
      </c>
      <c r="I47" s="152">
        <v>-0.40848891803583154</v>
      </c>
      <c r="J47" s="154">
        <v>-42231.300000000017</v>
      </c>
    </row>
    <row r="48" spans="2:10" collapsed="1">
      <c r="B48" s="150"/>
      <c r="C48" s="156" t="s">
        <v>33</v>
      </c>
      <c r="D48" s="150"/>
      <c r="E48" s="150"/>
      <c r="F48" s="150"/>
      <c r="G48" s="160">
        <v>341231.2</v>
      </c>
      <c r="H48" s="160">
        <v>233828.5</v>
      </c>
      <c r="I48" s="161">
        <v>0.45932253767184084</v>
      </c>
      <c r="J48" s="162">
        <v>107402.70000000001</v>
      </c>
    </row>
    <row r="49" spans="1:17">
      <c r="B49" s="150"/>
      <c r="C49" s="156" t="s">
        <v>118</v>
      </c>
      <c r="D49" s="150"/>
      <c r="E49" s="150"/>
      <c r="F49" s="150"/>
      <c r="G49" s="160">
        <v>145538</v>
      </c>
      <c r="H49" s="160">
        <v>35628.899999999965</v>
      </c>
      <c r="I49" s="161">
        <v>3.0848300115917171</v>
      </c>
      <c r="J49" s="162">
        <v>109909.10000000003</v>
      </c>
    </row>
    <row r="50" spans="1:17">
      <c r="C50" s="163"/>
      <c r="D50" s="163"/>
      <c r="H50" s="127"/>
      <c r="I50" s="128"/>
      <c r="J50" s="164"/>
    </row>
    <row r="51" spans="1:17" ht="14.4">
      <c r="B51" s="146"/>
      <c r="C51" s="146" t="s">
        <v>34</v>
      </c>
      <c r="D51" s="146"/>
      <c r="E51" s="146"/>
      <c r="F51" s="146"/>
      <c r="G51" s="147">
        <v>212289.40000000002</v>
      </c>
      <c r="H51" s="147">
        <v>252919.7</v>
      </c>
      <c r="I51" s="148">
        <v>-0.1606450584908965</v>
      </c>
      <c r="J51" s="149">
        <v>-40630.299999999988</v>
      </c>
    </row>
    <row r="52" spans="1:17">
      <c r="B52" s="156"/>
      <c r="C52" s="156" t="s">
        <v>22</v>
      </c>
      <c r="D52" s="157"/>
      <c r="E52" s="158"/>
      <c r="F52" s="159"/>
      <c r="G52" s="160">
        <v>8638.6</v>
      </c>
      <c r="H52" s="160">
        <v>131357.19999999998</v>
      </c>
      <c r="I52" s="161">
        <v>-0.93423580892406355</v>
      </c>
      <c r="J52" s="162">
        <v>-122718.59999999998</v>
      </c>
    </row>
    <row r="53" spans="1:17" ht="14.4" hidden="1" customHeight="1" outlineLevel="1">
      <c r="B53" s="150"/>
      <c r="C53" s="150"/>
      <c r="D53" s="150" t="s">
        <v>35</v>
      </c>
      <c r="E53" s="150"/>
      <c r="F53" s="150"/>
      <c r="G53" s="151">
        <v>8638.6</v>
      </c>
      <c r="H53" s="151">
        <v>131331</v>
      </c>
      <c r="I53" s="152">
        <v>-0.93422268923559559</v>
      </c>
      <c r="J53" s="154">
        <v>-122692.4</v>
      </c>
    </row>
    <row r="54" spans="1:17" ht="14.4" hidden="1" customHeight="1" outlineLevel="1">
      <c r="B54" s="150"/>
      <c r="C54" s="150"/>
      <c r="D54" s="150" t="s">
        <v>28</v>
      </c>
      <c r="E54" s="150"/>
      <c r="F54" s="150"/>
      <c r="G54" s="151">
        <v>0</v>
      </c>
      <c r="H54" s="151">
        <v>26.2</v>
      </c>
      <c r="I54" s="151">
        <v>-1</v>
      </c>
      <c r="J54" s="151">
        <v>-26.2</v>
      </c>
    </row>
    <row r="55" spans="1:17" collapsed="1">
      <c r="B55" s="156"/>
      <c r="C55" s="156" t="s">
        <v>23</v>
      </c>
      <c r="D55" s="157"/>
      <c r="E55" s="158"/>
      <c r="F55" s="159"/>
      <c r="G55" s="160">
        <v>73333.7</v>
      </c>
      <c r="H55" s="160">
        <v>50053.200000000004</v>
      </c>
      <c r="I55" s="161">
        <v>0.46511511751496393</v>
      </c>
      <c r="J55" s="162">
        <v>23280.499999999993</v>
      </c>
    </row>
    <row r="56" spans="1:17" ht="14.4" hidden="1" customHeight="1" outlineLevel="1">
      <c r="B56" s="150"/>
      <c r="C56" s="150"/>
      <c r="D56" s="150" t="s">
        <v>35</v>
      </c>
      <c r="E56" s="150"/>
      <c r="F56" s="150"/>
      <c r="G56" s="151">
        <v>72726.5</v>
      </c>
      <c r="H56" s="151">
        <v>49923.9</v>
      </c>
      <c r="I56" s="152">
        <v>0.45674716919150948</v>
      </c>
      <c r="J56" s="154">
        <v>22802.6</v>
      </c>
    </row>
    <row r="57" spans="1:17" ht="14.4" hidden="1" customHeight="1" outlineLevel="1">
      <c r="B57" s="150"/>
      <c r="C57" s="150"/>
      <c r="D57" s="150" t="s">
        <v>28</v>
      </c>
      <c r="E57" s="150"/>
      <c r="F57" s="150"/>
      <c r="G57" s="151">
        <v>607.20000000000005</v>
      </c>
      <c r="H57" s="151">
        <v>129.30000000000001</v>
      </c>
      <c r="I57" s="151">
        <v>3.6960556844547563</v>
      </c>
      <c r="J57" s="154">
        <v>477.90000000000003</v>
      </c>
    </row>
    <row r="58" spans="1:17" collapsed="1">
      <c r="B58" s="156"/>
      <c r="C58" s="156" t="s">
        <v>29</v>
      </c>
      <c r="D58" s="157"/>
      <c r="E58" s="158"/>
      <c r="F58" s="159"/>
      <c r="G58" s="160">
        <v>1489.6999999999985</v>
      </c>
      <c r="H58" s="160">
        <v>4257.8999999999996</v>
      </c>
      <c r="I58" s="161">
        <v>-0.65013269452077349</v>
      </c>
      <c r="J58" s="162">
        <v>-2768.2000000000012</v>
      </c>
    </row>
    <row r="59" spans="1:17" ht="14.4" hidden="1" customHeight="1" outlineLevel="1">
      <c r="B59" s="150"/>
      <c r="C59" s="150"/>
      <c r="D59" s="150" t="s">
        <v>35</v>
      </c>
      <c r="E59" s="150"/>
      <c r="F59" s="150"/>
      <c r="G59" s="151">
        <v>1121.8999999999987</v>
      </c>
      <c r="H59" s="151">
        <v>1608.6000000000001</v>
      </c>
      <c r="I59" s="152">
        <v>-0.30256123337063368</v>
      </c>
      <c r="J59" s="154">
        <v>-486.70000000000141</v>
      </c>
    </row>
    <row r="60" spans="1:17" ht="14.4" hidden="1" customHeight="1" outlineLevel="1">
      <c r="B60" s="150"/>
      <c r="C60" s="150"/>
      <c r="D60" s="150" t="s">
        <v>28</v>
      </c>
      <c r="E60" s="150"/>
      <c r="F60" s="150"/>
      <c r="G60" s="151">
        <v>367.8</v>
      </c>
      <c r="H60" s="151">
        <v>2649.3</v>
      </c>
      <c r="I60" s="152">
        <v>-0.86117087532555769</v>
      </c>
      <c r="J60" s="154">
        <v>-2281.5</v>
      </c>
    </row>
    <row r="61" spans="1:17" collapsed="1">
      <c r="B61" s="156"/>
      <c r="C61" s="156" t="s">
        <v>36</v>
      </c>
      <c r="D61" s="157"/>
      <c r="E61" s="158"/>
      <c r="F61" s="159"/>
      <c r="G61" s="160">
        <v>4508.7</v>
      </c>
      <c r="H61" s="160">
        <v>10335.799999999999</v>
      </c>
      <c r="I61" s="161">
        <v>-0.56377832388397608</v>
      </c>
      <c r="J61" s="162">
        <v>-5827.0999999999995</v>
      </c>
    </row>
    <row r="62" spans="1:17" ht="14.4" hidden="1" customHeight="1" outlineLevel="1">
      <c r="B62" s="150"/>
      <c r="C62" s="150"/>
      <c r="D62" s="150" t="s">
        <v>35</v>
      </c>
      <c r="E62" s="150"/>
      <c r="F62" s="150"/>
      <c r="G62" s="151">
        <v>3186.4</v>
      </c>
      <c r="H62" s="151">
        <v>8841.4</v>
      </c>
      <c r="I62" s="152">
        <v>-0.63960458750876548</v>
      </c>
      <c r="J62" s="154">
        <v>-5655</v>
      </c>
    </row>
    <row r="63" spans="1:17" ht="14.4" hidden="1" customHeight="1" outlineLevel="1">
      <c r="B63" s="150"/>
      <c r="C63" s="150"/>
      <c r="D63" s="150" t="s">
        <v>28</v>
      </c>
      <c r="E63" s="150"/>
      <c r="F63" s="150"/>
      <c r="G63" s="151">
        <v>1322.3</v>
      </c>
      <c r="H63" s="151">
        <v>1494.4</v>
      </c>
      <c r="I63" s="152">
        <v>-0.11516327623126343</v>
      </c>
      <c r="J63" s="154">
        <v>-172.10000000000014</v>
      </c>
    </row>
    <row r="64" spans="1:17" s="166" customFormat="1" collapsed="1">
      <c r="A64" s="165"/>
      <c r="B64" s="156"/>
      <c r="C64" s="156" t="s">
        <v>50</v>
      </c>
      <c r="D64" s="157"/>
      <c r="E64" s="158"/>
      <c r="F64" s="159"/>
      <c r="G64" s="160">
        <v>45126.9</v>
      </c>
      <c r="H64" s="160">
        <v>26127.4</v>
      </c>
      <c r="I64" s="161">
        <v>0.727186784754702</v>
      </c>
      <c r="J64" s="162">
        <v>18999.5</v>
      </c>
      <c r="K64" s="165"/>
      <c r="L64" s="165"/>
      <c r="M64" s="165"/>
      <c r="N64" s="165"/>
      <c r="O64" s="165"/>
      <c r="P64" s="165"/>
      <c r="Q64" s="165"/>
    </row>
    <row r="65" spans="1:17" s="166" customFormat="1" ht="14.4" hidden="1" customHeight="1" outlineLevel="1">
      <c r="A65" s="165"/>
      <c r="B65" s="159"/>
      <c r="C65" s="159"/>
      <c r="D65" s="159" t="s">
        <v>35</v>
      </c>
      <c r="E65" s="159"/>
      <c r="F65" s="159"/>
      <c r="G65" s="167">
        <v>35543.300000000003</v>
      </c>
      <c r="H65" s="151">
        <v>22575.7</v>
      </c>
      <c r="I65" s="168">
        <v>0.57440522331533472</v>
      </c>
      <c r="J65" s="169">
        <v>12967.600000000002</v>
      </c>
      <c r="K65" s="165"/>
      <c r="L65" s="165"/>
      <c r="M65" s="165"/>
      <c r="N65" s="165"/>
      <c r="O65" s="165"/>
      <c r="P65" s="165"/>
      <c r="Q65" s="165"/>
    </row>
    <row r="66" spans="1:17" ht="14.4" hidden="1" customHeight="1" outlineLevel="1">
      <c r="B66" s="159"/>
      <c r="C66" s="159"/>
      <c r="D66" s="159" t="s">
        <v>28</v>
      </c>
      <c r="E66" s="159"/>
      <c r="F66" s="159"/>
      <c r="G66" s="167">
        <v>9583.6</v>
      </c>
      <c r="H66" s="151">
        <v>3551.7</v>
      </c>
      <c r="I66" s="151">
        <v>1.69831348368387</v>
      </c>
      <c r="J66" s="169">
        <v>6031.9000000000005</v>
      </c>
    </row>
    <row r="67" spans="1:17" collapsed="1">
      <c r="B67" s="156"/>
      <c r="C67" s="156" t="s">
        <v>37</v>
      </c>
      <c r="D67" s="157"/>
      <c r="E67" s="158"/>
      <c r="F67" s="159"/>
      <c r="G67" s="160">
        <v>79191.799999999988</v>
      </c>
      <c r="H67" s="160">
        <v>30788.2</v>
      </c>
      <c r="I67" s="161">
        <v>1.5721477708992402</v>
      </c>
      <c r="J67" s="162">
        <v>48403.599999999991</v>
      </c>
    </row>
    <row r="68" spans="1:17" ht="14.4" hidden="1" customHeight="1" outlineLevel="1">
      <c r="B68" s="150"/>
      <c r="C68" s="150"/>
      <c r="D68" s="150" t="s">
        <v>35</v>
      </c>
      <c r="E68" s="150"/>
      <c r="F68" s="150"/>
      <c r="G68" s="151">
        <v>77942.099999999991</v>
      </c>
      <c r="H68" s="151">
        <v>29555.8</v>
      </c>
      <c r="I68" s="152">
        <v>1.6371169110631412</v>
      </c>
      <c r="J68" s="154">
        <v>48386.299999999988</v>
      </c>
    </row>
    <row r="69" spans="1:17" ht="14.4" hidden="1" customHeight="1" outlineLevel="1">
      <c r="B69" s="150"/>
      <c r="C69" s="150"/>
      <c r="D69" s="150" t="s">
        <v>28</v>
      </c>
      <c r="E69" s="150"/>
      <c r="F69" s="150"/>
      <c r="G69" s="151">
        <v>1249.7000000000003</v>
      </c>
      <c r="H69" s="151">
        <v>1232.4000000000001</v>
      </c>
      <c r="I69" s="152">
        <v>1.4037650113599698E-2</v>
      </c>
      <c r="J69" s="154">
        <v>17.300000000000182</v>
      </c>
    </row>
    <row r="70" spans="1:17" collapsed="1">
      <c r="C70" s="163"/>
      <c r="D70" s="170"/>
      <c r="E70" s="171"/>
      <c r="F70" s="170"/>
      <c r="H70" s="127"/>
      <c r="I70" s="128"/>
      <c r="J70" s="164"/>
    </row>
    <row r="71" spans="1:17">
      <c r="B71" s="142" t="s">
        <v>38</v>
      </c>
      <c r="C71" s="142"/>
      <c r="D71" s="142"/>
      <c r="E71" s="142"/>
      <c r="F71" s="142"/>
      <c r="G71" s="143">
        <v>1556864</v>
      </c>
      <c r="H71" s="143">
        <v>899659.99999999814</v>
      </c>
      <c r="I71" s="144">
        <v>0.73050263432852769</v>
      </c>
      <c r="J71" s="145">
        <v>657204.00000000186</v>
      </c>
    </row>
    <row r="72" spans="1:17">
      <c r="H72" s="127"/>
      <c r="I72" s="128"/>
      <c r="J72" s="164"/>
    </row>
    <row r="73" spans="1:17" ht="14.4">
      <c r="B73" s="146"/>
      <c r="C73" s="146" t="s">
        <v>51</v>
      </c>
      <c r="D73" s="146"/>
      <c r="E73" s="146"/>
      <c r="F73" s="146"/>
      <c r="G73" s="147">
        <v>1166563.5000000002</v>
      </c>
      <c r="H73" s="147">
        <v>896129.49999999988</v>
      </c>
      <c r="I73" s="148">
        <v>0.30178004406729197</v>
      </c>
      <c r="J73" s="149">
        <v>270434.00000000035</v>
      </c>
    </row>
    <row r="74" spans="1:17">
      <c r="H74" s="127"/>
      <c r="I74" s="128"/>
      <c r="J74" s="164"/>
    </row>
    <row r="75" spans="1:17">
      <c r="B75" s="142" t="s">
        <v>40</v>
      </c>
      <c r="C75" s="142"/>
      <c r="D75" s="142"/>
      <c r="E75" s="142"/>
      <c r="F75" s="142"/>
      <c r="G75" s="143">
        <v>390300.49999999977</v>
      </c>
      <c r="H75" s="143">
        <v>3530.5</v>
      </c>
      <c r="I75" s="144">
        <v>109.55105509134677</v>
      </c>
      <c r="J75" s="145">
        <v>386769.99999999977</v>
      </c>
    </row>
    <row r="76" spans="1:17" ht="14.4">
      <c r="B76" s="172"/>
      <c r="C76" s="173"/>
      <c r="D76" s="174"/>
      <c r="E76" s="175"/>
      <c r="F76" s="176"/>
      <c r="G76" s="177"/>
      <c r="H76" s="177"/>
      <c r="J76" s="178"/>
    </row>
    <row r="77" spans="1:17">
      <c r="B77" s="179"/>
      <c r="C77" s="180"/>
      <c r="D77" s="174"/>
      <c r="E77" s="175"/>
      <c r="F77" s="176"/>
      <c r="G77" s="181"/>
      <c r="H77" s="181"/>
      <c r="I77" s="181"/>
      <c r="J77" s="181"/>
    </row>
    <row r="78" spans="1:17">
      <c r="H78" s="127"/>
      <c r="I78" s="127"/>
      <c r="J78" s="127"/>
    </row>
    <row r="79" spans="1:17">
      <c r="H79" s="127"/>
      <c r="I79" s="127"/>
      <c r="J79" s="127"/>
    </row>
    <row r="80" spans="1:17">
      <c r="H80" s="127"/>
      <c r="I80" s="127"/>
      <c r="J80" s="127"/>
    </row>
  </sheetData>
  <mergeCells count="1">
    <mergeCell ref="C2:J2"/>
  </mergeCells>
  <pageMargins left="0.70866141732283472" right="0.70866141732283472" top="0.74803149606299213" bottom="0.74803149606299213" header="0.31496062992125984" footer="0.31496062992125984"/>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C56D-F229-40D3-8CF4-746D9068FD3B}">
  <sheetPr>
    <pageSetUpPr fitToPage="1"/>
  </sheetPr>
  <dimension ref="A1:T84"/>
  <sheetViews>
    <sheetView showGridLines="0" zoomScaleNormal="100" zoomScaleSheetLayoutView="80" workbookViewId="0"/>
  </sheetViews>
  <sheetFormatPr baseColWidth="10" defaultRowHeight="14.4"/>
  <cols>
    <col min="1" max="1" width="5.6640625" customWidth="1"/>
    <col min="2" max="2" width="49" bestFit="1" customWidth="1"/>
    <col min="3" max="3" width="12.109375" style="182" bestFit="1" customWidth="1"/>
    <col min="4" max="4" width="11.5546875" style="182" customWidth="1"/>
    <col min="5" max="5" width="11" style="182" customWidth="1"/>
    <col min="6" max="6" width="12.6640625" style="182" customWidth="1"/>
    <col min="7" max="7" width="11.44140625" style="182" customWidth="1"/>
    <col min="8" max="8" width="12.44140625" style="182" customWidth="1"/>
    <col min="9" max="9" width="12.5546875" style="182" bestFit="1" customWidth="1"/>
    <col min="10" max="10" width="15.44140625" style="182" customWidth="1"/>
    <col min="11" max="11" width="11.44140625" customWidth="1"/>
    <col min="12" max="19" width="11.44140625" hidden="1" customWidth="1"/>
    <col min="20" max="20" width="11.44140625" customWidth="1"/>
  </cols>
  <sheetData>
    <row r="1" spans="1:20" ht="15" customHeight="1">
      <c r="A1" s="183"/>
      <c r="J1" s="184"/>
    </row>
    <row r="2" spans="1:20" ht="15.6">
      <c r="A2" s="185" t="s">
        <v>120</v>
      </c>
      <c r="B2" s="186"/>
      <c r="C2" s="187"/>
      <c r="D2" s="187"/>
      <c r="E2" s="187"/>
      <c r="F2" s="187"/>
      <c r="G2" s="187"/>
      <c r="H2" s="187"/>
      <c r="I2" s="188"/>
      <c r="J2" s="189"/>
    </row>
    <row r="3" spans="1:20" ht="15.75" customHeight="1">
      <c r="A3" s="185" t="s">
        <v>121</v>
      </c>
      <c r="B3" s="186"/>
      <c r="C3" s="190"/>
      <c r="D3" s="191"/>
      <c r="E3" s="191"/>
      <c r="F3" s="191"/>
      <c r="G3" s="191"/>
      <c r="H3" s="190"/>
      <c r="I3" s="190"/>
      <c r="J3" s="190"/>
    </row>
    <row r="4" spans="1:20" ht="12.75" customHeight="1">
      <c r="A4" s="192" t="s">
        <v>122</v>
      </c>
      <c r="B4" s="186"/>
      <c r="C4" s="190"/>
      <c r="D4" s="191"/>
      <c r="E4" s="191"/>
      <c r="F4" s="191"/>
      <c r="G4" s="191"/>
      <c r="H4" s="190"/>
      <c r="I4" s="190"/>
      <c r="J4" s="190"/>
      <c r="K4" s="193"/>
      <c r="L4" s="193"/>
      <c r="M4" s="193"/>
      <c r="N4" s="193"/>
      <c r="O4" s="193"/>
      <c r="P4" s="193"/>
      <c r="Q4" s="193"/>
      <c r="R4" s="193"/>
      <c r="S4" s="193"/>
      <c r="T4" s="193"/>
    </row>
    <row r="5" spans="1:20" ht="12" customHeight="1" thickBot="1">
      <c r="A5" s="192"/>
      <c r="B5" s="186"/>
      <c r="C5" s="190"/>
      <c r="D5" s="191"/>
      <c r="E5" s="191"/>
      <c r="F5" s="191"/>
      <c r="G5" s="191"/>
      <c r="H5" s="190"/>
      <c r="I5" s="190"/>
      <c r="J5" s="190"/>
      <c r="K5" s="193"/>
      <c r="L5" s="193"/>
      <c r="M5" s="193"/>
      <c r="N5" s="193"/>
      <c r="O5" s="193"/>
      <c r="P5" s="193"/>
      <c r="Q5" s="193"/>
      <c r="R5" s="193"/>
      <c r="S5" s="193"/>
      <c r="T5" s="193"/>
    </row>
    <row r="6" spans="1:20" ht="13.5" customHeight="1">
      <c r="A6" s="194"/>
      <c r="B6" s="195"/>
      <c r="C6" s="196" t="s">
        <v>123</v>
      </c>
      <c r="D6" s="197"/>
      <c r="E6" s="197"/>
      <c r="F6" s="197"/>
      <c r="G6" s="197"/>
      <c r="H6" s="197"/>
      <c r="I6" s="198" t="s">
        <v>124</v>
      </c>
      <c r="J6" s="199"/>
    </row>
    <row r="7" spans="1:20" ht="13.5" customHeight="1">
      <c r="A7" s="200"/>
      <c r="B7" s="201" t="s">
        <v>125</v>
      </c>
      <c r="C7" s="202" t="s">
        <v>126</v>
      </c>
      <c r="D7" s="203" t="s">
        <v>127</v>
      </c>
      <c r="E7" s="202" t="s">
        <v>128</v>
      </c>
      <c r="F7" s="203" t="s">
        <v>129</v>
      </c>
      <c r="G7" s="202" t="s">
        <v>130</v>
      </c>
      <c r="H7" s="202" t="s">
        <v>131</v>
      </c>
      <c r="I7" s="204" t="s">
        <v>132</v>
      </c>
      <c r="J7" s="205" t="s">
        <v>133</v>
      </c>
    </row>
    <row r="8" spans="1:20" ht="13.5" customHeight="1">
      <c r="A8" s="200"/>
      <c r="B8" s="206"/>
      <c r="C8" s="207" t="s">
        <v>134</v>
      </c>
      <c r="D8" s="207" t="s">
        <v>135</v>
      </c>
      <c r="E8" s="207" t="s">
        <v>136</v>
      </c>
      <c r="F8" s="204" t="s">
        <v>137</v>
      </c>
      <c r="G8" s="208" t="s">
        <v>138</v>
      </c>
      <c r="H8" s="209"/>
      <c r="I8" s="204" t="s">
        <v>139</v>
      </c>
      <c r="J8" s="210"/>
    </row>
    <row r="9" spans="1:20" ht="11.25" customHeight="1">
      <c r="A9" s="211"/>
      <c r="B9" s="212"/>
      <c r="C9" s="213"/>
      <c r="D9" s="213"/>
      <c r="E9" s="213"/>
      <c r="F9" s="213"/>
      <c r="G9" s="213"/>
      <c r="H9" s="213"/>
      <c r="I9" s="213"/>
      <c r="J9" s="214"/>
    </row>
    <row r="10" spans="1:20">
      <c r="A10" s="215" t="s">
        <v>140</v>
      </c>
      <c r="B10" s="216" t="s">
        <v>141</v>
      </c>
      <c r="C10" s="217">
        <v>4283922.3</v>
      </c>
      <c r="D10" s="217">
        <v>362879.60000000009</v>
      </c>
      <c r="E10" s="217">
        <v>239613.39999999997</v>
      </c>
      <c r="F10" s="217">
        <v>5237020.6000000006</v>
      </c>
      <c r="G10" s="217">
        <v>3377.8</v>
      </c>
      <c r="H10" s="217">
        <v>10126813.700000003</v>
      </c>
      <c r="I10" s="217">
        <v>1238897.9999999998</v>
      </c>
      <c r="J10" s="218">
        <v>11365711.700000003</v>
      </c>
      <c r="K10" s="219"/>
      <c r="L10" s="219">
        <f>+C10-[1]AIF!C106</f>
        <v>0</v>
      </c>
      <c r="M10" s="219">
        <f>+D10-[1]AIF!D106</f>
        <v>0</v>
      </c>
      <c r="N10" s="219">
        <f>+E10-[1]AIF!E106</f>
        <v>0</v>
      </c>
      <c r="O10" s="219">
        <f>+F10-[1]AIF!F106</f>
        <v>0</v>
      </c>
      <c r="P10" s="219">
        <f>+G10-[1]AIF!G106</f>
        <v>0</v>
      </c>
      <c r="Q10" s="219">
        <f>+H10-[1]AIF!H106</f>
        <v>0</v>
      </c>
      <c r="R10" s="219">
        <f>+I10-[1]AIF!I106</f>
        <v>0</v>
      </c>
      <c r="S10" s="219">
        <f>+J10-[1]AIF!J106</f>
        <v>0</v>
      </c>
    </row>
    <row r="11" spans="1:20">
      <c r="A11" s="200"/>
      <c r="B11" s="220" t="s">
        <v>142</v>
      </c>
      <c r="C11" s="221">
        <v>3779652.4</v>
      </c>
      <c r="D11" s="221">
        <v>275752.40000000002</v>
      </c>
      <c r="E11" s="221">
        <v>116563.7</v>
      </c>
      <c r="F11" s="221">
        <v>1937291.4</v>
      </c>
      <c r="G11" s="221">
        <v>0</v>
      </c>
      <c r="H11" s="221">
        <v>6109259.9000000004</v>
      </c>
      <c r="I11" s="221">
        <v>356094.6</v>
      </c>
      <c r="J11" s="222">
        <v>6465354.5</v>
      </c>
      <c r="K11" s="219"/>
      <c r="L11" s="219">
        <f>+C11-[1]AIF!C107</f>
        <v>0</v>
      </c>
      <c r="M11" s="219">
        <f>+D11-[1]AIF!D107</f>
        <v>0</v>
      </c>
      <c r="N11" s="219">
        <f>+E11-[1]AIF!E107</f>
        <v>0</v>
      </c>
      <c r="O11" s="219">
        <f>+F11-[1]AIF!F107</f>
        <v>0</v>
      </c>
      <c r="P11" s="219">
        <f>+G11-[1]AIF!G107</f>
        <v>0</v>
      </c>
      <c r="Q11" s="219">
        <f>+H11-[1]AIF!H107</f>
        <v>0</v>
      </c>
      <c r="R11" s="219">
        <f>+I11-[1]AIF!I107</f>
        <v>0</v>
      </c>
      <c r="S11" s="219">
        <f>+J11-[1]AIF!J107</f>
        <v>0</v>
      </c>
    </row>
    <row r="12" spans="1:20">
      <c r="A12" s="200"/>
      <c r="B12" s="220" t="s">
        <v>143</v>
      </c>
      <c r="C12" s="221">
        <v>0</v>
      </c>
      <c r="D12" s="221">
        <v>428.2</v>
      </c>
      <c r="E12" s="221">
        <v>4423.2000000000007</v>
      </c>
      <c r="F12" s="221">
        <v>3267844.6</v>
      </c>
      <c r="G12" s="221">
        <v>3377.8</v>
      </c>
      <c r="H12" s="221">
        <v>3276073.8</v>
      </c>
      <c r="I12" s="221">
        <v>489529.1</v>
      </c>
      <c r="J12" s="222">
        <v>3765602.9</v>
      </c>
      <c r="K12" s="219"/>
      <c r="L12" s="219">
        <f>+C12-[1]AIF!C108</f>
        <v>0</v>
      </c>
      <c r="M12" s="219">
        <f>+D12-[1]AIF!D108</f>
        <v>0</v>
      </c>
      <c r="N12" s="219">
        <f>+E12-[1]AIF!E108</f>
        <v>0</v>
      </c>
      <c r="O12" s="219">
        <f>+F12-[1]AIF!F108</f>
        <v>0</v>
      </c>
      <c r="P12" s="219">
        <f>+G12-[1]AIF!G108</f>
        <v>0</v>
      </c>
      <c r="Q12" s="219">
        <f>+H12-[1]AIF!H108</f>
        <v>0</v>
      </c>
      <c r="R12" s="219">
        <f>+I12-[1]AIF!I108</f>
        <v>0</v>
      </c>
      <c r="S12" s="219">
        <f>+J12-[1]AIF!J108</f>
        <v>0</v>
      </c>
    </row>
    <row r="13" spans="1:20">
      <c r="A13" s="200"/>
      <c r="B13" s="220" t="s">
        <v>144</v>
      </c>
      <c r="C13" s="221">
        <v>33155.699999999997</v>
      </c>
      <c r="D13" s="221">
        <v>77800.600000000006</v>
      </c>
      <c r="E13" s="221">
        <v>108162.5</v>
      </c>
      <c r="F13" s="221">
        <v>5416.2</v>
      </c>
      <c r="G13" s="221">
        <v>0</v>
      </c>
      <c r="H13" s="221">
        <v>224535</v>
      </c>
      <c r="I13" s="221">
        <v>128428.5</v>
      </c>
      <c r="J13" s="222">
        <v>352963.5</v>
      </c>
      <c r="K13" s="219"/>
      <c r="L13" s="219">
        <f>+C13-[1]AIF!C109</f>
        <v>0</v>
      </c>
      <c r="M13" s="219">
        <f>+D13-[1]AIF!D109</f>
        <v>0</v>
      </c>
      <c r="N13" s="219">
        <f>+E13-[1]AIF!E109</f>
        <v>0</v>
      </c>
      <c r="O13" s="219">
        <f>+F13-[1]AIF!F109</f>
        <v>0</v>
      </c>
      <c r="P13" s="219">
        <f>+G13-[1]AIF!G109</f>
        <v>0</v>
      </c>
      <c r="Q13" s="219">
        <f>+H13-[1]AIF!H109</f>
        <v>0</v>
      </c>
      <c r="R13" s="219">
        <f>+I13-[1]AIF!I109</f>
        <v>0</v>
      </c>
      <c r="S13" s="219">
        <f>+J13-[1]AIF!J109</f>
        <v>0</v>
      </c>
    </row>
    <row r="14" spans="1:20">
      <c r="A14" s="200"/>
      <c r="B14" s="220" t="s">
        <v>145</v>
      </c>
      <c r="C14" s="221">
        <v>5.5</v>
      </c>
      <c r="D14" s="221">
        <v>8896.4</v>
      </c>
      <c r="E14" s="221">
        <v>10197.299999999999</v>
      </c>
      <c r="F14" s="221">
        <v>0</v>
      </c>
      <c r="G14" s="221">
        <v>0</v>
      </c>
      <c r="H14" s="221">
        <v>19099.199999999997</v>
      </c>
      <c r="I14" s="221">
        <v>0</v>
      </c>
      <c r="J14" s="222">
        <v>19099.199999999997</v>
      </c>
      <c r="K14" s="219"/>
      <c r="L14" s="219">
        <f>+C14-[1]AIF!C110</f>
        <v>0</v>
      </c>
      <c r="M14" s="219">
        <f>+D14-[1]AIF!D110</f>
        <v>0</v>
      </c>
      <c r="N14" s="219">
        <f>+E14-[1]AIF!E110</f>
        <v>0</v>
      </c>
      <c r="O14" s="219">
        <f>+F14-[1]AIF!F110</f>
        <v>0</v>
      </c>
      <c r="P14" s="219">
        <f>+G14-[1]AIF!G110</f>
        <v>0</v>
      </c>
      <c r="Q14" s="219">
        <f>+H14-[1]AIF!H110</f>
        <v>0</v>
      </c>
      <c r="R14" s="219">
        <f>+I14-[1]AIF!I110</f>
        <v>0</v>
      </c>
      <c r="S14" s="219">
        <f>+J14-[1]AIF!J110</f>
        <v>0</v>
      </c>
    </row>
    <row r="15" spans="1:20">
      <c r="A15" s="200"/>
      <c r="B15" s="220" t="s">
        <v>146</v>
      </c>
      <c r="C15" s="221">
        <v>0</v>
      </c>
      <c r="D15" s="221">
        <v>0</v>
      </c>
      <c r="E15" s="221">
        <v>0</v>
      </c>
      <c r="F15" s="221">
        <v>0</v>
      </c>
      <c r="G15" s="221">
        <v>0</v>
      </c>
      <c r="H15" s="221">
        <v>0</v>
      </c>
      <c r="I15" s="221">
        <v>0</v>
      </c>
      <c r="J15" s="222">
        <v>0</v>
      </c>
      <c r="K15" s="219"/>
      <c r="L15" s="219">
        <f>+C15-[1]AIF!C111</f>
        <v>0</v>
      </c>
      <c r="M15" s="219">
        <f>+D15-[1]AIF!D111</f>
        <v>0</v>
      </c>
      <c r="N15" s="219">
        <f>+E15-[1]AIF!E111</f>
        <v>0</v>
      </c>
      <c r="O15" s="219">
        <f>+F15-[1]AIF!F111</f>
        <v>0</v>
      </c>
      <c r="P15" s="219">
        <f>+G15-[1]AIF!G111</f>
        <v>0</v>
      </c>
      <c r="Q15" s="219">
        <f>+H15-[1]AIF!H111</f>
        <v>0</v>
      </c>
      <c r="R15" s="219">
        <f>+I15-[1]AIF!I111</f>
        <v>0</v>
      </c>
      <c r="S15" s="219">
        <f>+J15-[1]AIF!J111</f>
        <v>0</v>
      </c>
    </row>
    <row r="16" spans="1:20">
      <c r="A16" s="200"/>
      <c r="B16" s="220" t="s">
        <v>147</v>
      </c>
      <c r="C16" s="221">
        <v>460973.4</v>
      </c>
      <c r="D16" s="221">
        <v>2</v>
      </c>
      <c r="E16" s="221">
        <v>232.79999999999998</v>
      </c>
      <c r="F16" s="221">
        <v>26468.399999999994</v>
      </c>
      <c r="G16" s="221">
        <v>0</v>
      </c>
      <c r="H16" s="221">
        <v>487676.6</v>
      </c>
      <c r="I16" s="221">
        <v>79066.400000000009</v>
      </c>
      <c r="J16" s="222">
        <v>566743</v>
      </c>
      <c r="K16" s="219"/>
      <c r="L16" s="219">
        <f>+C16-[1]AIF!C112</f>
        <v>0</v>
      </c>
      <c r="M16" s="219">
        <f>+D16-[1]AIF!D112</f>
        <v>0</v>
      </c>
      <c r="N16" s="219">
        <f>+E16-[1]AIF!E112</f>
        <v>0</v>
      </c>
      <c r="O16" s="219">
        <f>+F16-[1]AIF!F112</f>
        <v>0</v>
      </c>
      <c r="P16" s="219">
        <f>+G16-[1]AIF!G112</f>
        <v>0</v>
      </c>
      <c r="Q16" s="219">
        <f>+H16-[1]AIF!H112</f>
        <v>0</v>
      </c>
      <c r="R16" s="219">
        <f>+I16-[1]AIF!I112</f>
        <v>0</v>
      </c>
      <c r="S16" s="219">
        <f>+J16-[1]AIF!J112</f>
        <v>0</v>
      </c>
    </row>
    <row r="17" spans="1:19">
      <c r="A17" s="200"/>
      <c r="B17" s="220" t="s">
        <v>148</v>
      </c>
      <c r="C17" s="221">
        <v>10135.299999999999</v>
      </c>
      <c r="D17" s="221">
        <v>0</v>
      </c>
      <c r="E17" s="221">
        <v>33.9</v>
      </c>
      <c r="F17" s="221">
        <v>0</v>
      </c>
      <c r="G17" s="221">
        <v>0</v>
      </c>
      <c r="H17" s="221">
        <v>10169.199999999999</v>
      </c>
      <c r="I17" s="221">
        <v>634.5</v>
      </c>
      <c r="J17" s="222">
        <v>10803.699999999999</v>
      </c>
      <c r="K17" s="219"/>
      <c r="L17" s="219">
        <f>+C17-[1]AIF!C113</f>
        <v>0</v>
      </c>
      <c r="M17" s="219">
        <f>+D17-[1]AIF!D113</f>
        <v>0</v>
      </c>
      <c r="N17" s="219">
        <f>+E17-[1]AIF!E113</f>
        <v>0</v>
      </c>
      <c r="O17" s="219">
        <f>+F17-[1]AIF!F113</f>
        <v>0</v>
      </c>
      <c r="P17" s="219">
        <f>+G17-[1]AIF!G113</f>
        <v>0</v>
      </c>
      <c r="Q17" s="219">
        <f>+H17-[1]AIF!H113</f>
        <v>0</v>
      </c>
      <c r="R17" s="219">
        <f>+I17-[1]AIF!I113</f>
        <v>0</v>
      </c>
      <c r="S17" s="219">
        <f>+J17-[1]AIF!J113</f>
        <v>0</v>
      </c>
    </row>
    <row r="18" spans="1:19">
      <c r="A18" s="200"/>
      <c r="B18" s="220" t="s">
        <v>149</v>
      </c>
      <c r="C18" s="221">
        <v>0</v>
      </c>
      <c r="D18" s="221">
        <v>0</v>
      </c>
      <c r="E18" s="221">
        <v>0</v>
      </c>
      <c r="F18" s="221">
        <v>0</v>
      </c>
      <c r="G18" s="221">
        <v>0</v>
      </c>
      <c r="H18" s="221">
        <v>0</v>
      </c>
      <c r="I18" s="221">
        <v>68640.200000000012</v>
      </c>
      <c r="J18" s="222">
        <v>68640.200000000012</v>
      </c>
      <c r="K18" s="219"/>
      <c r="L18" s="219">
        <f>+C18-[1]AIF!C114</f>
        <v>0</v>
      </c>
      <c r="M18" s="219">
        <f>+D18-[1]AIF!D114</f>
        <v>0</v>
      </c>
      <c r="N18" s="219">
        <f>+E18-[1]AIF!E114</f>
        <v>0</v>
      </c>
      <c r="O18" s="219">
        <f>+F18-[1]AIF!F114</f>
        <v>0</v>
      </c>
      <c r="P18" s="219">
        <f>+G18-[1]AIF!G114</f>
        <v>0</v>
      </c>
      <c r="Q18" s="219">
        <f>+H18-[1]AIF!H114</f>
        <v>0</v>
      </c>
      <c r="R18" s="219">
        <f>+I18-[1]AIF!I114</f>
        <v>0</v>
      </c>
      <c r="S18" s="219">
        <f>+J18-[1]AIF!J114</f>
        <v>0</v>
      </c>
    </row>
    <row r="19" spans="1:19">
      <c r="A19" s="200"/>
      <c r="B19" s="220" t="s">
        <v>150</v>
      </c>
      <c r="C19" s="221">
        <v>0</v>
      </c>
      <c r="D19" s="221">
        <v>0</v>
      </c>
      <c r="E19" s="221">
        <v>0</v>
      </c>
      <c r="F19" s="221">
        <v>0</v>
      </c>
      <c r="G19" s="221">
        <v>0</v>
      </c>
      <c r="H19" s="221">
        <v>0</v>
      </c>
      <c r="I19" s="221">
        <v>116504.7</v>
      </c>
      <c r="J19" s="222">
        <v>116504.7</v>
      </c>
      <c r="K19" s="219"/>
      <c r="L19" s="219">
        <f>+C19-[1]AIF!C115</f>
        <v>0</v>
      </c>
      <c r="M19" s="219">
        <f>+D19-[1]AIF!D115</f>
        <v>0</v>
      </c>
      <c r="N19" s="219">
        <f>+E19-[1]AIF!E115</f>
        <v>0</v>
      </c>
      <c r="O19" s="219">
        <f>+F19-[1]AIF!F115</f>
        <v>0</v>
      </c>
      <c r="P19" s="219">
        <f>+G19-[1]AIF!G115</f>
        <v>0</v>
      </c>
      <c r="Q19" s="219">
        <f>+H19-[1]AIF!H115</f>
        <v>0</v>
      </c>
      <c r="R19" s="219">
        <f>+I19-[1]AIF!I115</f>
        <v>0</v>
      </c>
      <c r="S19" s="219">
        <f>+J19-[1]AIF!J115</f>
        <v>0</v>
      </c>
    </row>
    <row r="20" spans="1:19" ht="4.5" customHeight="1">
      <c r="A20" s="200"/>
      <c r="B20" s="220"/>
      <c r="C20" s="221"/>
      <c r="D20" s="221"/>
      <c r="E20" s="221"/>
      <c r="F20" s="221"/>
      <c r="G20" s="221"/>
      <c r="H20" s="221"/>
      <c r="I20" s="221"/>
      <c r="J20" s="222"/>
      <c r="K20" s="219"/>
      <c r="L20" s="219"/>
      <c r="M20" s="219"/>
      <c r="N20" s="219"/>
      <c r="O20" s="219"/>
      <c r="P20" s="219"/>
      <c r="Q20" s="219"/>
      <c r="R20" s="219"/>
      <c r="S20" s="219"/>
    </row>
    <row r="21" spans="1:19">
      <c r="A21" s="215" t="s">
        <v>151</v>
      </c>
      <c r="B21" s="216" t="s">
        <v>152</v>
      </c>
      <c r="C21" s="217">
        <v>3246008.7</v>
      </c>
      <c r="D21" s="217">
        <v>216353.90000000002</v>
      </c>
      <c r="E21" s="217">
        <v>626296.29999999993</v>
      </c>
      <c r="F21" s="217">
        <v>5171284.7</v>
      </c>
      <c r="G21" s="217">
        <v>134771.79999999999</v>
      </c>
      <c r="H21" s="217">
        <v>9394715.4000000004</v>
      </c>
      <c r="I21" s="217">
        <v>1368762.6999999997</v>
      </c>
      <c r="J21" s="218">
        <v>10763478.1</v>
      </c>
      <c r="K21" s="219"/>
      <c r="L21" s="219">
        <f>+C21-[1]AIF!C117</f>
        <v>0</v>
      </c>
      <c r="M21" s="219">
        <f>+D21-[1]AIF!D117</f>
        <v>0</v>
      </c>
      <c r="N21" s="219">
        <f>+E21-[1]AIF!E117</f>
        <v>0</v>
      </c>
      <c r="O21" s="219">
        <f>+F21-[1]AIF!F117</f>
        <v>0</v>
      </c>
      <c r="P21" s="219">
        <f>+G21-[1]AIF!G117</f>
        <v>0</v>
      </c>
      <c r="Q21" s="219">
        <f>+H21-[1]AIF!H117</f>
        <v>0</v>
      </c>
      <c r="R21" s="219">
        <f>+I21-[1]AIF!I117</f>
        <v>0</v>
      </c>
      <c r="S21" s="219">
        <f>+J21-[1]AIF!J117</f>
        <v>0</v>
      </c>
    </row>
    <row r="22" spans="1:19">
      <c r="A22" s="200"/>
      <c r="B22" s="220" t="s">
        <v>153</v>
      </c>
      <c r="C22" s="221">
        <v>907951.1</v>
      </c>
      <c r="D22" s="221">
        <v>198329.40000000002</v>
      </c>
      <c r="E22" s="221">
        <v>247584.4</v>
      </c>
      <c r="F22" s="221">
        <v>72519.899999999994</v>
      </c>
      <c r="G22" s="221">
        <v>0</v>
      </c>
      <c r="H22" s="221">
        <v>1426384.7999999998</v>
      </c>
      <c r="I22" s="221">
        <v>327465.7</v>
      </c>
      <c r="J22" s="222">
        <v>1753850.4999999998</v>
      </c>
      <c r="K22" s="219"/>
      <c r="L22" s="219">
        <f>+C22-[1]AIF!C118</f>
        <v>0</v>
      </c>
      <c r="M22" s="219">
        <f>+D22-[1]AIF!D118</f>
        <v>0</v>
      </c>
      <c r="N22" s="219">
        <f>+E22-[1]AIF!E118</f>
        <v>0</v>
      </c>
      <c r="O22" s="219">
        <f>+F22-[1]AIF!F118</f>
        <v>0</v>
      </c>
      <c r="P22" s="219">
        <f>+G22-[1]AIF!G118</f>
        <v>0</v>
      </c>
      <c r="Q22" s="219">
        <f>+H22-[1]AIF!H118</f>
        <v>0</v>
      </c>
      <c r="R22" s="219">
        <f>+I22-[1]AIF!I118</f>
        <v>0</v>
      </c>
      <c r="S22" s="219">
        <f>+J22-[1]AIF!J118</f>
        <v>0</v>
      </c>
    </row>
    <row r="23" spans="1:19">
      <c r="A23" s="200"/>
      <c r="B23" s="220" t="s">
        <v>154</v>
      </c>
      <c r="C23" s="221">
        <v>675788.1</v>
      </c>
      <c r="D23" s="221">
        <v>165556.1</v>
      </c>
      <c r="E23" s="221">
        <v>184460.5</v>
      </c>
      <c r="F23" s="221">
        <v>62033.599999999999</v>
      </c>
      <c r="G23" s="221">
        <v>0</v>
      </c>
      <c r="H23" s="221">
        <v>1087838.3</v>
      </c>
      <c r="I23" s="221">
        <v>205127.59999999998</v>
      </c>
      <c r="J23" s="222">
        <v>1292965.8999999999</v>
      </c>
      <c r="K23" s="219"/>
      <c r="L23" s="219">
        <f>+C23-[1]AIF!C119</f>
        <v>0</v>
      </c>
      <c r="M23" s="219">
        <f>+D23-[1]AIF!D119</f>
        <v>0</v>
      </c>
      <c r="N23" s="219">
        <f>+E23-[1]AIF!E119</f>
        <v>0</v>
      </c>
      <c r="O23" s="219">
        <f>+F23-[1]AIF!F119</f>
        <v>0</v>
      </c>
      <c r="P23" s="219">
        <f>+G23-[1]AIF!G119</f>
        <v>0</v>
      </c>
      <c r="Q23" s="219">
        <f>+H23-[1]AIF!H119</f>
        <v>0</v>
      </c>
      <c r="R23" s="219">
        <f>+I23-[1]AIF!I119</f>
        <v>0</v>
      </c>
      <c r="S23" s="219">
        <f>+J23-[1]AIF!J119</f>
        <v>0</v>
      </c>
    </row>
    <row r="24" spans="1:19">
      <c r="A24" s="200"/>
      <c r="B24" s="220" t="s">
        <v>155</v>
      </c>
      <c r="C24" s="221">
        <v>232163</v>
      </c>
      <c r="D24" s="221">
        <v>32773.300000000003</v>
      </c>
      <c r="E24" s="221">
        <v>63120.1</v>
      </c>
      <c r="F24" s="221">
        <v>10486.3</v>
      </c>
      <c r="G24" s="221">
        <v>0</v>
      </c>
      <c r="H24" s="221">
        <v>338542.69999999995</v>
      </c>
      <c r="I24" s="221">
        <v>122264.4</v>
      </c>
      <c r="J24" s="222">
        <v>460807.1</v>
      </c>
      <c r="K24" s="219"/>
      <c r="L24" s="219">
        <f>+C24-[1]AIF!C120</f>
        <v>0</v>
      </c>
      <c r="M24" s="219">
        <f>+D24-[1]AIF!D120</f>
        <v>0</v>
      </c>
      <c r="N24" s="219">
        <f>+E24-[1]AIF!E120</f>
        <v>0</v>
      </c>
      <c r="O24" s="219">
        <f>+F24-[1]AIF!F120</f>
        <v>0</v>
      </c>
      <c r="P24" s="219">
        <f>+G24-[1]AIF!G120</f>
        <v>0</v>
      </c>
      <c r="Q24" s="219">
        <f>+H24-[1]AIF!H120</f>
        <v>0</v>
      </c>
      <c r="R24" s="219">
        <f>+I24-[1]AIF!I120</f>
        <v>0</v>
      </c>
      <c r="S24" s="219">
        <f>+J24-[1]AIF!J120</f>
        <v>0</v>
      </c>
    </row>
    <row r="25" spans="1:19">
      <c r="A25" s="200"/>
      <c r="B25" s="220" t="s">
        <v>156</v>
      </c>
      <c r="C25" s="221">
        <v>0</v>
      </c>
      <c r="D25" s="221">
        <v>0</v>
      </c>
      <c r="E25" s="221">
        <v>3.8</v>
      </c>
      <c r="F25" s="221">
        <v>0</v>
      </c>
      <c r="G25" s="221">
        <v>0</v>
      </c>
      <c r="H25" s="221">
        <v>3.8</v>
      </c>
      <c r="I25" s="221">
        <v>73.7</v>
      </c>
      <c r="J25" s="222">
        <v>77.5</v>
      </c>
      <c r="K25" s="219"/>
      <c r="L25" s="219">
        <f>+C25-[1]AIF!C121</f>
        <v>0</v>
      </c>
      <c r="M25" s="219">
        <f>+D25-[1]AIF!D121</f>
        <v>0</v>
      </c>
      <c r="N25" s="219">
        <f>+E25-[1]AIF!E121</f>
        <v>0</v>
      </c>
      <c r="O25" s="219">
        <f>+F25-[1]AIF!F121</f>
        <v>0</v>
      </c>
      <c r="P25" s="219">
        <f>+G25-[1]AIF!G121</f>
        <v>0</v>
      </c>
      <c r="Q25" s="219">
        <f>+H25-[1]AIF!H121</f>
        <v>0</v>
      </c>
      <c r="R25" s="219">
        <f>+I25-[1]AIF!I121</f>
        <v>0</v>
      </c>
      <c r="S25" s="219">
        <f>+J25-[1]AIF!J121</f>
        <v>0</v>
      </c>
    </row>
    <row r="26" spans="1:19">
      <c r="A26" s="200"/>
      <c r="B26" s="220" t="s">
        <v>157</v>
      </c>
      <c r="C26" s="221">
        <v>1161351.1000000001</v>
      </c>
      <c r="D26" s="221">
        <v>116.1</v>
      </c>
      <c r="E26" s="221">
        <v>95.8</v>
      </c>
      <c r="F26" s="221">
        <v>0</v>
      </c>
      <c r="G26" s="221">
        <v>0</v>
      </c>
      <c r="H26" s="221">
        <v>1161563.0000000002</v>
      </c>
      <c r="I26" s="221">
        <v>5201.8</v>
      </c>
      <c r="J26" s="222">
        <v>1166764.8000000003</v>
      </c>
      <c r="K26" s="219"/>
      <c r="L26" s="219">
        <f>+C26-[1]AIF!C122</f>
        <v>0</v>
      </c>
      <c r="M26" s="219">
        <f>+D26-[1]AIF!D122</f>
        <v>0</v>
      </c>
      <c r="N26" s="219">
        <f>+E26-[1]AIF!E122</f>
        <v>0</v>
      </c>
      <c r="O26" s="219">
        <f>+F26-[1]AIF!F122</f>
        <v>0</v>
      </c>
      <c r="P26" s="219">
        <f>+G26-[1]AIF!G122</f>
        <v>0</v>
      </c>
      <c r="Q26" s="219">
        <f>+H26-[1]AIF!H122</f>
        <v>0</v>
      </c>
      <c r="R26" s="219">
        <f>+I26-[1]AIF!I122</f>
        <v>0</v>
      </c>
      <c r="S26" s="219">
        <f>+J26-[1]AIF!J122</f>
        <v>0</v>
      </c>
    </row>
    <row r="27" spans="1:19">
      <c r="A27" s="200"/>
      <c r="B27" s="220" t="s">
        <v>158</v>
      </c>
      <c r="C27" s="221">
        <v>1161351.1000000001</v>
      </c>
      <c r="D27" s="221">
        <v>0</v>
      </c>
      <c r="E27" s="221">
        <v>12.8</v>
      </c>
      <c r="F27" s="221">
        <v>0</v>
      </c>
      <c r="G27" s="221">
        <v>0</v>
      </c>
      <c r="H27" s="221">
        <v>1161363.9000000001</v>
      </c>
      <c r="I27" s="221">
        <v>5199.6000000000004</v>
      </c>
      <c r="J27" s="222">
        <v>1166563.5000000002</v>
      </c>
      <c r="K27" s="219"/>
      <c r="L27" s="219">
        <f>+C27-[1]AIF!C123</f>
        <v>0</v>
      </c>
      <c r="M27" s="219">
        <f>+D27-[1]AIF!D123</f>
        <v>0</v>
      </c>
      <c r="N27" s="219">
        <f>+E27-[1]AIF!E123</f>
        <v>0</v>
      </c>
      <c r="O27" s="219">
        <f>+F27-[1]AIF!F123</f>
        <v>0</v>
      </c>
      <c r="P27" s="219">
        <f>+G27-[1]AIF!G123</f>
        <v>0</v>
      </c>
      <c r="Q27" s="219">
        <f>+H27-[1]AIF!H123</f>
        <v>0</v>
      </c>
      <c r="R27" s="219">
        <f>+I27-[1]AIF!I123</f>
        <v>0</v>
      </c>
      <c r="S27" s="219">
        <f>+J27-[1]AIF!J123</f>
        <v>0</v>
      </c>
    </row>
    <row r="28" spans="1:19">
      <c r="A28" s="200"/>
      <c r="B28" s="220" t="s">
        <v>159</v>
      </c>
      <c r="C28" s="221">
        <v>0</v>
      </c>
      <c r="D28" s="221">
        <v>116.1</v>
      </c>
      <c r="E28" s="221">
        <v>83</v>
      </c>
      <c r="F28" s="221">
        <v>0</v>
      </c>
      <c r="G28" s="221">
        <v>0</v>
      </c>
      <c r="H28" s="221">
        <v>199.1</v>
      </c>
      <c r="I28" s="221">
        <v>2.2000000000000002</v>
      </c>
      <c r="J28" s="222">
        <v>201.29999999999998</v>
      </c>
      <c r="K28" s="219"/>
      <c r="L28" s="219">
        <f>+C28-[1]AIF!C124</f>
        <v>0</v>
      </c>
      <c r="M28" s="219">
        <f>+D28-[1]AIF!D124</f>
        <v>0</v>
      </c>
      <c r="N28" s="219">
        <f>+E28-[1]AIF!E124</f>
        <v>0</v>
      </c>
      <c r="O28" s="219">
        <f>+F28-[1]AIF!F124</f>
        <v>0</v>
      </c>
      <c r="P28" s="219">
        <f>+G28-[1]AIF!G124</f>
        <v>0</v>
      </c>
      <c r="Q28" s="219">
        <f>+H28-[1]AIF!H124</f>
        <v>0</v>
      </c>
      <c r="R28" s="219">
        <f>+I28-[1]AIF!I124</f>
        <v>0</v>
      </c>
      <c r="S28" s="219">
        <f>+J28-[1]AIF!J124</f>
        <v>0</v>
      </c>
    </row>
    <row r="29" spans="1:19">
      <c r="A29" s="200"/>
      <c r="B29" s="223" t="s">
        <v>160</v>
      </c>
      <c r="C29" s="221">
        <v>0</v>
      </c>
      <c r="D29" s="221">
        <v>308.3</v>
      </c>
      <c r="E29" s="221">
        <v>237360.6</v>
      </c>
      <c r="F29" s="221">
        <v>4096379.9</v>
      </c>
      <c r="G29" s="221">
        <v>134771.79999999999</v>
      </c>
      <c r="H29" s="221">
        <v>4468820.5999999996</v>
      </c>
      <c r="I29" s="221">
        <v>0</v>
      </c>
      <c r="J29" s="222">
        <v>4468820.5999999996</v>
      </c>
      <c r="K29" s="219"/>
      <c r="L29" s="219">
        <f>+C29-[1]AIF!C125</f>
        <v>0</v>
      </c>
      <c r="M29" s="219">
        <f>+D29-[1]AIF!D125</f>
        <v>0</v>
      </c>
      <c r="N29" s="219">
        <f>+E29-[1]AIF!E125</f>
        <v>0</v>
      </c>
      <c r="O29" s="219">
        <f>+F29-[1]AIF!F125</f>
        <v>0</v>
      </c>
      <c r="P29" s="219">
        <f>+G29-[1]AIF!G125</f>
        <v>0</v>
      </c>
      <c r="Q29" s="219">
        <f>+H29-[1]AIF!H125</f>
        <v>0</v>
      </c>
      <c r="R29" s="219">
        <f>+I29-[1]AIF!I125</f>
        <v>0</v>
      </c>
      <c r="S29" s="219">
        <f>+J29-[1]AIF!J125</f>
        <v>0</v>
      </c>
    </row>
    <row r="30" spans="1:19">
      <c r="A30" s="200"/>
      <c r="B30" s="220" t="s">
        <v>161</v>
      </c>
      <c r="C30" s="221">
        <v>168.1</v>
      </c>
      <c r="D30" s="221">
        <v>20.7</v>
      </c>
      <c r="E30" s="221">
        <v>72.099999999999994</v>
      </c>
      <c r="F30" s="221">
        <v>0</v>
      </c>
      <c r="G30" s="221">
        <v>0</v>
      </c>
      <c r="H30" s="221">
        <v>260.89999999999998</v>
      </c>
      <c r="I30" s="221">
        <v>6424.6000000000013</v>
      </c>
      <c r="J30" s="222">
        <v>6685.5000000000009</v>
      </c>
      <c r="K30" s="219"/>
      <c r="L30" s="219">
        <f>+C30-[1]AIF!C126</f>
        <v>0</v>
      </c>
      <c r="M30" s="219">
        <f>+D30-[1]AIF!D126</f>
        <v>0</v>
      </c>
      <c r="N30" s="219">
        <f>+E30-[1]AIF!E126</f>
        <v>0</v>
      </c>
      <c r="O30" s="219">
        <f>+F30-[1]AIF!F126</f>
        <v>0</v>
      </c>
      <c r="P30" s="219">
        <f>+G30-[1]AIF!G126</f>
        <v>0</v>
      </c>
      <c r="Q30" s="219">
        <f>+H30-[1]AIF!H126</f>
        <v>0</v>
      </c>
      <c r="R30" s="219">
        <f>+I30-[1]AIF!I126</f>
        <v>0</v>
      </c>
      <c r="S30" s="219">
        <f>+J30-[1]AIF!J126</f>
        <v>0</v>
      </c>
    </row>
    <row r="31" spans="1:19">
      <c r="A31" s="200"/>
      <c r="B31" s="220" t="s">
        <v>148</v>
      </c>
      <c r="C31" s="221">
        <v>1176538.4000000001</v>
      </c>
      <c r="D31" s="221">
        <v>17579.400000000001</v>
      </c>
      <c r="E31" s="221">
        <v>141183.4</v>
      </c>
      <c r="F31" s="221">
        <v>1002384.9</v>
      </c>
      <c r="G31" s="221">
        <v>0</v>
      </c>
      <c r="H31" s="221">
        <v>2337686.1</v>
      </c>
      <c r="I31" s="221">
        <v>784829.7</v>
      </c>
      <c r="J31" s="222">
        <v>3122515.8</v>
      </c>
      <c r="K31" s="219"/>
      <c r="L31" s="219">
        <f>+C31-[1]AIF!C127</f>
        <v>0</v>
      </c>
      <c r="M31" s="219">
        <f>+D31-[1]AIF!D127</f>
        <v>0</v>
      </c>
      <c r="N31" s="219">
        <f>+E31-[1]AIF!E127</f>
        <v>0</v>
      </c>
      <c r="O31" s="219">
        <f>+F31-[1]AIF!F127</f>
        <v>0</v>
      </c>
      <c r="P31" s="219">
        <f>+G31-[1]AIF!G127</f>
        <v>0</v>
      </c>
      <c r="Q31" s="219">
        <f>+H31-[1]AIF!H127</f>
        <v>0</v>
      </c>
      <c r="R31" s="219">
        <f>+I31-[1]AIF!I127</f>
        <v>0</v>
      </c>
      <c r="S31" s="219">
        <f>+J31-[1]AIF!J127</f>
        <v>0</v>
      </c>
    </row>
    <row r="32" spans="1:19">
      <c r="A32" s="200"/>
      <c r="B32" s="223" t="s">
        <v>162</v>
      </c>
      <c r="C32" s="221">
        <v>694775.5</v>
      </c>
      <c r="D32" s="221">
        <v>4834.3</v>
      </c>
      <c r="E32" s="221">
        <v>139272</v>
      </c>
      <c r="F32" s="221">
        <v>995384.9</v>
      </c>
      <c r="G32" s="221">
        <v>0</v>
      </c>
      <c r="H32" s="221">
        <v>1834266.7000000002</v>
      </c>
      <c r="I32" s="221">
        <v>755678.9</v>
      </c>
      <c r="J32" s="222">
        <v>2589945.6</v>
      </c>
      <c r="K32" s="219"/>
      <c r="L32" s="219">
        <f>+C32-[1]AIF!C128</f>
        <v>0</v>
      </c>
      <c r="M32" s="219">
        <f>+D32-[1]AIF!D128</f>
        <v>0</v>
      </c>
      <c r="N32" s="219">
        <f>+E32-[1]AIF!E128</f>
        <v>0</v>
      </c>
      <c r="O32" s="219">
        <f>+F32-[1]AIF!F128</f>
        <v>0</v>
      </c>
      <c r="P32" s="219">
        <f>+G32-[1]AIF!G128</f>
        <v>0</v>
      </c>
      <c r="Q32" s="219">
        <f>+H32-[1]AIF!H128</f>
        <v>0</v>
      </c>
      <c r="R32" s="219">
        <f>+I32-[1]AIF!I128</f>
        <v>0</v>
      </c>
      <c r="S32" s="219">
        <f>+J32-[1]AIF!J128</f>
        <v>0</v>
      </c>
    </row>
    <row r="33" spans="1:19">
      <c r="A33" s="200"/>
      <c r="B33" s="220" t="s">
        <v>163</v>
      </c>
      <c r="C33" s="221">
        <v>481751.10000000003</v>
      </c>
      <c r="D33" s="221">
        <v>2220.8000000000002</v>
      </c>
      <c r="E33" s="221">
        <v>1685.8</v>
      </c>
      <c r="F33" s="221">
        <v>7000</v>
      </c>
      <c r="G33" s="221">
        <v>0</v>
      </c>
      <c r="H33" s="221">
        <v>492657.7</v>
      </c>
      <c r="I33" s="221">
        <v>29044.699999999997</v>
      </c>
      <c r="J33" s="222">
        <v>521702.40000000002</v>
      </c>
      <c r="K33" s="219"/>
      <c r="L33" s="219">
        <f>+C33-[1]AIF!C129</f>
        <v>0</v>
      </c>
      <c r="M33" s="219">
        <f>+D33-[1]AIF!D129</f>
        <v>0</v>
      </c>
      <c r="N33" s="219">
        <f>+E33-[1]AIF!E129</f>
        <v>0</v>
      </c>
      <c r="O33" s="219">
        <f>+F33-[1]AIF!F129</f>
        <v>0</v>
      </c>
      <c r="P33" s="219">
        <f>+G33-[1]AIF!G129</f>
        <v>0</v>
      </c>
      <c r="Q33" s="219">
        <f>+H33-[1]AIF!H129</f>
        <v>0</v>
      </c>
      <c r="R33" s="219">
        <f>+I33-[1]AIF!I129</f>
        <v>0</v>
      </c>
      <c r="S33" s="219">
        <f>+J33-[1]AIF!J129</f>
        <v>0</v>
      </c>
    </row>
    <row r="34" spans="1:19">
      <c r="A34" s="200"/>
      <c r="B34" s="220" t="s">
        <v>164</v>
      </c>
      <c r="C34" s="221">
        <v>137680.5</v>
      </c>
      <c r="D34" s="221">
        <v>1985</v>
      </c>
      <c r="E34" s="221">
        <v>1683.6</v>
      </c>
      <c r="F34" s="221">
        <v>7000</v>
      </c>
      <c r="G34" s="221">
        <v>0</v>
      </c>
      <c r="H34" s="221">
        <v>148349.1</v>
      </c>
      <c r="I34" s="221">
        <v>28885.899999999998</v>
      </c>
      <c r="J34" s="222">
        <v>177235</v>
      </c>
      <c r="K34" s="219"/>
      <c r="L34" s="219">
        <f>+C34-[1]AIF!C130</f>
        <v>0</v>
      </c>
      <c r="M34" s="219">
        <f>+D34-[1]AIF!D130</f>
        <v>0</v>
      </c>
      <c r="N34" s="219">
        <f>+E34-[1]AIF!E130</f>
        <v>0</v>
      </c>
      <c r="O34" s="219">
        <f>+F34-[1]AIF!F130</f>
        <v>0</v>
      </c>
      <c r="P34" s="219">
        <f>+G34-[1]AIF!G130</f>
        <v>0</v>
      </c>
      <c r="Q34" s="219">
        <f>+H34-[1]AIF!H130</f>
        <v>0</v>
      </c>
      <c r="R34" s="219">
        <f>+I34-[1]AIF!I130</f>
        <v>0</v>
      </c>
      <c r="S34" s="219">
        <f>+J34-[1]AIF!J130</f>
        <v>0</v>
      </c>
    </row>
    <row r="35" spans="1:19">
      <c r="A35" s="200"/>
      <c r="B35" s="223" t="s">
        <v>165</v>
      </c>
      <c r="C35" s="221">
        <v>341229</v>
      </c>
      <c r="D35" s="221">
        <v>0</v>
      </c>
      <c r="E35" s="221">
        <v>2.2000000000000002</v>
      </c>
      <c r="F35" s="221">
        <v>0</v>
      </c>
      <c r="G35" s="221">
        <v>0</v>
      </c>
      <c r="H35" s="221">
        <v>341231.2</v>
      </c>
      <c r="I35" s="221">
        <v>0</v>
      </c>
      <c r="J35" s="222">
        <v>341231.2</v>
      </c>
      <c r="K35" s="219"/>
      <c r="L35" s="219">
        <f>+C35-[1]AIF!C131</f>
        <v>0</v>
      </c>
      <c r="M35" s="219">
        <f>+D35-[1]AIF!D131</f>
        <v>0</v>
      </c>
      <c r="N35" s="219">
        <f>+E35-[1]AIF!E131</f>
        <v>0</v>
      </c>
      <c r="O35" s="219">
        <f>+F35-[1]AIF!F131</f>
        <v>0</v>
      </c>
      <c r="P35" s="219">
        <f>+G35-[1]AIF!G131</f>
        <v>0</v>
      </c>
      <c r="Q35" s="219">
        <f>+H35-[1]AIF!H131</f>
        <v>0</v>
      </c>
      <c r="R35" s="219">
        <f>+I35-[1]AIF!I131</f>
        <v>0</v>
      </c>
      <c r="S35" s="219">
        <f>+J35-[1]AIF!J131</f>
        <v>0</v>
      </c>
    </row>
    <row r="36" spans="1:19">
      <c r="A36" s="200"/>
      <c r="B36" s="220" t="s">
        <v>166</v>
      </c>
      <c r="C36" s="221">
        <v>2841.6000000000204</v>
      </c>
      <c r="D36" s="221">
        <v>235.8</v>
      </c>
      <c r="E36" s="221">
        <v>0</v>
      </c>
      <c r="F36" s="221">
        <v>0</v>
      </c>
      <c r="G36" s="221">
        <v>0</v>
      </c>
      <c r="H36" s="221">
        <v>3077.4000000000206</v>
      </c>
      <c r="I36" s="221">
        <v>158.80000000000001</v>
      </c>
      <c r="J36" s="222">
        <v>3236.2000000000207</v>
      </c>
      <c r="K36" s="219"/>
      <c r="L36" s="219">
        <f>+C36-[1]AIF!C132</f>
        <v>0</v>
      </c>
      <c r="M36" s="219">
        <f>+D36-[1]AIF!D132</f>
        <v>0</v>
      </c>
      <c r="N36" s="219">
        <f>+E36-[1]AIF!E132</f>
        <v>0</v>
      </c>
      <c r="O36" s="219">
        <f>+F36-[1]AIF!F132</f>
        <v>0</v>
      </c>
      <c r="P36" s="219">
        <f>+G36-[1]AIF!G132</f>
        <v>0</v>
      </c>
      <c r="Q36" s="219">
        <f>+H36-[1]AIF!H132</f>
        <v>0</v>
      </c>
      <c r="R36" s="219">
        <f>+I36-[1]AIF!I132</f>
        <v>0</v>
      </c>
      <c r="S36" s="219">
        <f>+J36-[1]AIF!J132</f>
        <v>0</v>
      </c>
    </row>
    <row r="37" spans="1:19">
      <c r="A37" s="200"/>
      <c r="B37" s="220" t="s">
        <v>167</v>
      </c>
      <c r="C37" s="221">
        <v>11.8</v>
      </c>
      <c r="D37" s="221">
        <v>10524.3</v>
      </c>
      <c r="E37" s="221">
        <v>225.6</v>
      </c>
      <c r="F37" s="221">
        <v>0</v>
      </c>
      <c r="G37" s="221">
        <v>0</v>
      </c>
      <c r="H37" s="221">
        <v>10761.699999999999</v>
      </c>
      <c r="I37" s="221">
        <v>106.10000000000001</v>
      </c>
      <c r="J37" s="222">
        <v>10867.8</v>
      </c>
      <c r="K37" s="219"/>
      <c r="L37" s="219">
        <f>+C37-[1]AIF!C133</f>
        <v>0</v>
      </c>
      <c r="M37" s="219">
        <f>+D37-[1]AIF!D133</f>
        <v>0</v>
      </c>
      <c r="N37" s="219">
        <f>+E37-[1]AIF!E133</f>
        <v>0</v>
      </c>
      <c r="O37" s="219">
        <f>+F37-[1]AIF!F133</f>
        <v>0</v>
      </c>
      <c r="P37" s="219">
        <f>+G37-[1]AIF!G133</f>
        <v>0</v>
      </c>
      <c r="Q37" s="219">
        <f>+H37-[1]AIF!H133</f>
        <v>0</v>
      </c>
      <c r="R37" s="219">
        <f>+I37-[1]AIF!I133</f>
        <v>0</v>
      </c>
      <c r="S37" s="219">
        <f>+J37-[1]AIF!J133</f>
        <v>0</v>
      </c>
    </row>
    <row r="38" spans="1:19">
      <c r="A38" s="200"/>
      <c r="B38" s="220" t="s">
        <v>168</v>
      </c>
      <c r="C38" s="221">
        <v>0</v>
      </c>
      <c r="D38" s="221">
        <v>0</v>
      </c>
      <c r="E38" s="221">
        <v>0</v>
      </c>
      <c r="F38" s="221">
        <v>0</v>
      </c>
      <c r="G38" s="221">
        <v>0</v>
      </c>
      <c r="H38" s="221">
        <v>0</v>
      </c>
      <c r="I38" s="221">
        <v>0</v>
      </c>
      <c r="J38" s="222">
        <v>0</v>
      </c>
      <c r="K38" s="219"/>
      <c r="L38" s="219">
        <f>+C38-[1]AIF!C134</f>
        <v>0</v>
      </c>
      <c r="M38" s="219">
        <f>+D38-[1]AIF!D134</f>
        <v>0</v>
      </c>
      <c r="N38" s="219">
        <f>+E38-[1]AIF!E134</f>
        <v>0</v>
      </c>
      <c r="O38" s="219">
        <f>+F38-[1]AIF!F134</f>
        <v>0</v>
      </c>
      <c r="P38" s="219">
        <f>+G38-[1]AIF!G134</f>
        <v>0</v>
      </c>
      <c r="Q38" s="219">
        <f>+H38-[1]AIF!H134</f>
        <v>0</v>
      </c>
      <c r="R38" s="219">
        <f>+I38-[1]AIF!I134</f>
        <v>0</v>
      </c>
      <c r="S38" s="219">
        <f>+J38-[1]AIF!J134</f>
        <v>0</v>
      </c>
    </row>
    <row r="39" spans="1:19">
      <c r="A39" s="200"/>
      <c r="B39" s="220" t="s">
        <v>169</v>
      </c>
      <c r="C39" s="221">
        <v>0</v>
      </c>
      <c r="D39" s="221">
        <v>0</v>
      </c>
      <c r="E39" s="221">
        <v>0</v>
      </c>
      <c r="F39" s="221">
        <v>0</v>
      </c>
      <c r="G39" s="221">
        <v>0</v>
      </c>
      <c r="H39" s="221">
        <v>0</v>
      </c>
      <c r="I39" s="221">
        <v>244840.9</v>
      </c>
      <c r="J39" s="222">
        <v>244840.9</v>
      </c>
      <c r="K39" s="219"/>
      <c r="L39" s="219">
        <f>+C39-[1]AIF!C135</f>
        <v>0</v>
      </c>
      <c r="M39" s="219">
        <f>+D39-[1]AIF!D135</f>
        <v>0</v>
      </c>
      <c r="N39" s="219">
        <f>+E39-[1]AIF!E135</f>
        <v>0</v>
      </c>
      <c r="O39" s="219">
        <f>+F39-[1]AIF!F135</f>
        <v>0</v>
      </c>
      <c r="P39" s="219">
        <f>+G39-[1]AIF!G135</f>
        <v>0</v>
      </c>
      <c r="Q39" s="219">
        <f>+H39-[1]AIF!H135</f>
        <v>0</v>
      </c>
      <c r="R39" s="219">
        <f>+I39-[1]AIF!I135</f>
        <v>0</v>
      </c>
      <c r="S39" s="219">
        <f>+J39-[1]AIF!J135</f>
        <v>0</v>
      </c>
    </row>
    <row r="40" spans="1:19" ht="5.25" customHeight="1">
      <c r="A40" s="200"/>
      <c r="B40" s="220"/>
      <c r="C40" s="221"/>
      <c r="D40" s="221"/>
      <c r="E40" s="221"/>
      <c r="F40" s="221"/>
      <c r="G40" s="221"/>
      <c r="H40" s="221"/>
      <c r="I40" s="221"/>
      <c r="J40" s="222"/>
      <c r="K40" s="219"/>
      <c r="L40" s="219"/>
      <c r="M40" s="219"/>
      <c r="N40" s="219"/>
      <c r="O40" s="219"/>
      <c r="P40" s="219"/>
      <c r="Q40" s="219"/>
      <c r="R40" s="219"/>
      <c r="S40" s="219"/>
    </row>
    <row r="41" spans="1:19">
      <c r="A41" s="215" t="s">
        <v>170</v>
      </c>
      <c r="B41" s="216" t="s">
        <v>171</v>
      </c>
      <c r="C41" s="217">
        <v>1037913.5999999996</v>
      </c>
      <c r="D41" s="217">
        <v>146525.70000000007</v>
      </c>
      <c r="E41" s="217">
        <v>-386682.89999999997</v>
      </c>
      <c r="F41" s="217">
        <v>65735.900000000373</v>
      </c>
      <c r="G41" s="217">
        <v>-131394</v>
      </c>
      <c r="H41" s="217">
        <v>732098.30000000028</v>
      </c>
      <c r="I41" s="217">
        <v>-129864.69999999995</v>
      </c>
      <c r="J41" s="218">
        <v>602233.60000000033</v>
      </c>
      <c r="K41" s="219"/>
      <c r="L41" s="219">
        <f>+C41-[1]AIF!C137</f>
        <v>0</v>
      </c>
      <c r="M41" s="219">
        <f>+D41-[1]AIF!D137</f>
        <v>0</v>
      </c>
      <c r="N41" s="219">
        <f>+E41-[1]AIF!E137</f>
        <v>0</v>
      </c>
      <c r="O41" s="219">
        <f>+F41-[1]AIF!F137</f>
        <v>0</v>
      </c>
      <c r="P41" s="219">
        <f>+G41-[1]AIF!G137</f>
        <v>0</v>
      </c>
      <c r="Q41" s="219">
        <f>+H41-[1]AIF!H137</f>
        <v>0</v>
      </c>
      <c r="R41" s="219">
        <f>+I41-[1]AIF!I137</f>
        <v>0</v>
      </c>
      <c r="S41" s="219">
        <f>+J41-[1]AIF!J137</f>
        <v>0</v>
      </c>
    </row>
    <row r="42" spans="1:19" ht="6" customHeight="1">
      <c r="A42" s="200"/>
      <c r="B42" s="220"/>
      <c r="C42" s="221"/>
      <c r="D42" s="221"/>
      <c r="E42" s="221"/>
      <c r="F42" s="221"/>
      <c r="G42" s="221"/>
      <c r="H42" s="217"/>
      <c r="I42" s="221"/>
      <c r="J42" s="222"/>
      <c r="K42" s="219"/>
      <c r="L42" s="219">
        <f>+C42-[1]AIF!C138</f>
        <v>0</v>
      </c>
      <c r="M42" s="219">
        <f>+D42-[1]AIF!D138</f>
        <v>0</v>
      </c>
      <c r="N42" s="219">
        <f>+E42-[1]AIF!E138</f>
        <v>0</v>
      </c>
      <c r="O42" s="219">
        <f>+F42-[1]AIF!F138</f>
        <v>0</v>
      </c>
      <c r="P42" s="219">
        <f>+G42-[1]AIF!G138</f>
        <v>0</v>
      </c>
      <c r="Q42" s="219">
        <f>+H42-[1]AIF!H138</f>
        <v>0</v>
      </c>
      <c r="R42" s="219">
        <f>+I42-[1]AIF!I138</f>
        <v>0</v>
      </c>
      <c r="S42" s="219">
        <f>+J42-[1]AIF!J138</f>
        <v>0</v>
      </c>
    </row>
    <row r="43" spans="1:19" ht="11.25" customHeight="1">
      <c r="A43" s="215" t="s">
        <v>172</v>
      </c>
      <c r="B43" s="216" t="s">
        <v>173</v>
      </c>
      <c r="C43" s="217">
        <v>335.5</v>
      </c>
      <c r="D43" s="217">
        <v>0</v>
      </c>
      <c r="E43" s="217">
        <v>20.800000000000182</v>
      </c>
      <c r="F43" s="217">
        <v>0</v>
      </c>
      <c r="G43" s="217">
        <v>0</v>
      </c>
      <c r="H43" s="217">
        <v>356.30000000000018</v>
      </c>
      <c r="I43" s="217">
        <v>0</v>
      </c>
      <c r="J43" s="218">
        <v>356.30000000000018</v>
      </c>
      <c r="K43" s="219"/>
      <c r="L43" s="219">
        <f>+C43-[1]AIF!C139</f>
        <v>0</v>
      </c>
      <c r="M43" s="219">
        <f>+D43-[1]AIF!D139</f>
        <v>0</v>
      </c>
      <c r="N43" s="219">
        <f>+E43-[1]AIF!E139</f>
        <v>0</v>
      </c>
      <c r="O43" s="219">
        <f>+F43-[1]AIF!F139</f>
        <v>0</v>
      </c>
      <c r="P43" s="219">
        <f>+G43-[1]AIF!G139</f>
        <v>0</v>
      </c>
      <c r="Q43" s="219">
        <f>+H43-[1]AIF!H139</f>
        <v>0</v>
      </c>
      <c r="R43" s="219">
        <f>+I43-[1]AIF!I139</f>
        <v>0</v>
      </c>
      <c r="S43" s="219">
        <f>+J43-[1]AIF!J139</f>
        <v>0</v>
      </c>
    </row>
    <row r="44" spans="1:19" ht="6" customHeight="1">
      <c r="A44" s="200"/>
      <c r="B44" s="220"/>
      <c r="C44" s="221"/>
      <c r="D44" s="221"/>
      <c r="E44" s="221"/>
      <c r="F44" s="221"/>
      <c r="G44" s="221"/>
      <c r="H44" s="221"/>
      <c r="I44" s="221"/>
      <c r="J44" s="222"/>
      <c r="K44" s="219"/>
      <c r="L44" s="219">
        <f>+C44-[1]AIF!C140</f>
        <v>0</v>
      </c>
      <c r="M44" s="219">
        <f>+D44-[1]AIF!D140</f>
        <v>0</v>
      </c>
      <c r="N44" s="219">
        <f>+E44-[1]AIF!E140</f>
        <v>0</v>
      </c>
      <c r="O44" s="219">
        <f>+F44-[1]AIF!F140</f>
        <v>0</v>
      </c>
      <c r="P44" s="219">
        <f>+G44-[1]AIF!G140</f>
        <v>0</v>
      </c>
      <c r="Q44" s="219">
        <f>+H44-[1]AIF!H140</f>
        <v>0</v>
      </c>
      <c r="R44" s="219">
        <f>+I44-[1]AIF!I140</f>
        <v>0</v>
      </c>
      <c r="S44" s="219">
        <f>+J44-[1]AIF!J140</f>
        <v>0</v>
      </c>
    </row>
    <row r="45" spans="1:19">
      <c r="A45" s="215" t="s">
        <v>174</v>
      </c>
      <c r="B45" s="216" t="s">
        <v>175</v>
      </c>
      <c r="C45" s="217">
        <v>25201.200000000004</v>
      </c>
      <c r="D45" s="217">
        <v>18876.5</v>
      </c>
      <c r="E45" s="217">
        <v>16381.900000000001</v>
      </c>
      <c r="F45" s="217">
        <v>30.4</v>
      </c>
      <c r="G45" s="217">
        <v>0</v>
      </c>
      <c r="H45" s="217">
        <v>60490.000000000007</v>
      </c>
      <c r="I45" s="217">
        <v>151799.4</v>
      </c>
      <c r="J45" s="218">
        <v>212289.4</v>
      </c>
      <c r="K45" s="219"/>
      <c r="L45" s="219">
        <f>+C45-[1]AIF!C141</f>
        <v>0</v>
      </c>
      <c r="M45" s="219">
        <f>+D45-[1]AIF!D141</f>
        <v>0</v>
      </c>
      <c r="N45" s="219">
        <f>+E45-[1]AIF!E141</f>
        <v>0</v>
      </c>
      <c r="O45" s="219">
        <f>+F45-[1]AIF!F141</f>
        <v>0</v>
      </c>
      <c r="P45" s="219">
        <f>+G45-[1]AIF!G141</f>
        <v>0</v>
      </c>
      <c r="Q45" s="219">
        <f>+H45-[1]AIF!H141</f>
        <v>0</v>
      </c>
      <c r="R45" s="219">
        <f>+I45-[1]AIF!I141</f>
        <v>0</v>
      </c>
      <c r="S45" s="219">
        <f>+J45-[1]AIF!J141</f>
        <v>0</v>
      </c>
    </row>
    <row r="46" spans="1:19">
      <c r="A46" s="200"/>
      <c r="B46" s="220" t="s">
        <v>176</v>
      </c>
      <c r="C46" s="221">
        <v>23786</v>
      </c>
      <c r="D46" s="221">
        <v>13117.7</v>
      </c>
      <c r="E46" s="221">
        <v>15511.2</v>
      </c>
      <c r="F46" s="221">
        <v>30.4</v>
      </c>
      <c r="G46" s="221">
        <v>0</v>
      </c>
      <c r="H46" s="221">
        <v>52445.299999999996</v>
      </c>
      <c r="I46" s="221">
        <v>135582</v>
      </c>
      <c r="J46" s="222">
        <v>188027.3</v>
      </c>
      <c r="K46" s="219"/>
      <c r="L46" s="219">
        <f>+C46-[1]AIF!C142</f>
        <v>0</v>
      </c>
      <c r="M46" s="219">
        <f>+D46-[1]AIF!D142</f>
        <v>0</v>
      </c>
      <c r="N46" s="219">
        <f>+E46-[1]AIF!E142</f>
        <v>0</v>
      </c>
      <c r="O46" s="219">
        <f>+F46-[1]AIF!F142</f>
        <v>0</v>
      </c>
      <c r="P46" s="219">
        <f>+G46-[1]AIF!G142</f>
        <v>0</v>
      </c>
      <c r="Q46" s="219">
        <f>+H46-[1]AIF!H142</f>
        <v>0</v>
      </c>
      <c r="R46" s="219">
        <f>+I46-[1]AIF!I142</f>
        <v>0</v>
      </c>
      <c r="S46" s="219">
        <f>+J46-[1]AIF!J142</f>
        <v>0</v>
      </c>
    </row>
    <row r="47" spans="1:19">
      <c r="A47" s="200"/>
      <c r="B47" s="220" t="s">
        <v>177</v>
      </c>
      <c r="C47" s="221">
        <v>1408.9000000000044</v>
      </c>
      <c r="D47" s="221">
        <v>5758.8</v>
      </c>
      <c r="E47" s="221">
        <v>736.7</v>
      </c>
      <c r="F47" s="221">
        <v>0</v>
      </c>
      <c r="G47" s="221">
        <v>0</v>
      </c>
      <c r="H47" s="221">
        <v>7904.4000000000042</v>
      </c>
      <c r="I47" s="221">
        <v>16217.4</v>
      </c>
      <c r="J47" s="222">
        <v>24121.800000000003</v>
      </c>
      <c r="K47" s="219"/>
      <c r="L47" s="219">
        <f>+C47-[1]AIF!C143</f>
        <v>0</v>
      </c>
      <c r="M47" s="219">
        <f>+D47-[1]AIF!D143</f>
        <v>0</v>
      </c>
      <c r="N47" s="219">
        <f>+E47-[1]AIF!E143</f>
        <v>0</v>
      </c>
      <c r="O47" s="219">
        <f>+F47-[1]AIF!F143</f>
        <v>0</v>
      </c>
      <c r="P47" s="219">
        <f>+G47-[1]AIF!G143</f>
        <v>0</v>
      </c>
      <c r="Q47" s="219">
        <f>+H47-[1]AIF!H143</f>
        <v>0</v>
      </c>
      <c r="R47" s="219">
        <f>+I47-[1]AIF!I143</f>
        <v>0</v>
      </c>
      <c r="S47" s="219">
        <f>+J47-[1]AIF!J143</f>
        <v>0</v>
      </c>
    </row>
    <row r="48" spans="1:19">
      <c r="A48" s="200"/>
      <c r="B48" s="220" t="s">
        <v>178</v>
      </c>
      <c r="C48" s="221">
        <v>990.7</v>
      </c>
      <c r="D48" s="221">
        <v>4973.3</v>
      </c>
      <c r="E48" s="221">
        <v>0</v>
      </c>
      <c r="F48" s="221">
        <v>0</v>
      </c>
      <c r="G48" s="221">
        <v>0</v>
      </c>
      <c r="H48" s="221">
        <v>5964</v>
      </c>
      <c r="I48" s="221">
        <v>7166.6</v>
      </c>
      <c r="J48" s="222">
        <v>13130.6</v>
      </c>
      <c r="K48" s="219"/>
      <c r="L48" s="219">
        <f>+C48-[1]AIF!C144</f>
        <v>0</v>
      </c>
      <c r="M48" s="219">
        <f>+D48-[1]AIF!D144</f>
        <v>0</v>
      </c>
      <c r="N48" s="219">
        <f>+E48-[1]AIF!E144</f>
        <v>0</v>
      </c>
      <c r="O48" s="219">
        <f>+F48-[1]AIF!F144</f>
        <v>0</v>
      </c>
      <c r="P48" s="219">
        <f>+G48-[1]AIF!G144</f>
        <v>0</v>
      </c>
      <c r="Q48" s="219">
        <f>+H48-[1]AIF!H144</f>
        <v>0</v>
      </c>
      <c r="R48" s="219">
        <f>+I48-[1]AIF!I144</f>
        <v>0</v>
      </c>
      <c r="S48" s="219">
        <f>+J48-[1]AIF!J144</f>
        <v>0</v>
      </c>
    </row>
    <row r="49" spans="1:19">
      <c r="A49" s="200"/>
      <c r="B49" s="220" t="s">
        <v>179</v>
      </c>
      <c r="C49" s="221">
        <v>418.20000000000437</v>
      </c>
      <c r="D49" s="221">
        <v>785.5</v>
      </c>
      <c r="E49" s="221">
        <v>736.7</v>
      </c>
      <c r="F49" s="221">
        <v>0</v>
      </c>
      <c r="G49" s="221">
        <v>0</v>
      </c>
      <c r="H49" s="221">
        <v>1940.4000000000044</v>
      </c>
      <c r="I49" s="221">
        <v>9050.7999999999993</v>
      </c>
      <c r="J49" s="222">
        <v>10991.200000000004</v>
      </c>
      <c r="K49" s="219"/>
      <c r="L49" s="219">
        <f>+C49-[1]AIF!C145</f>
        <v>0</v>
      </c>
      <c r="M49" s="219">
        <f>+D49-[1]AIF!D145</f>
        <v>0</v>
      </c>
      <c r="N49" s="219">
        <f>+E49-[1]AIF!E145</f>
        <v>0</v>
      </c>
      <c r="O49" s="219">
        <f>+F49-[1]AIF!F145</f>
        <v>0</v>
      </c>
      <c r="P49" s="219">
        <f>+G49-[1]AIF!G145</f>
        <v>0</v>
      </c>
      <c r="Q49" s="219">
        <f>+H49-[1]AIF!H145</f>
        <v>0</v>
      </c>
      <c r="R49" s="219">
        <f>+I49-[1]AIF!I145</f>
        <v>0</v>
      </c>
      <c r="S49" s="219">
        <f>+J49-[1]AIF!J145</f>
        <v>0</v>
      </c>
    </row>
    <row r="50" spans="1:19">
      <c r="A50" s="200"/>
      <c r="B50" s="220" t="s">
        <v>180</v>
      </c>
      <c r="C50" s="221">
        <v>6.3</v>
      </c>
      <c r="D50" s="221">
        <v>0</v>
      </c>
      <c r="E50" s="221">
        <v>134</v>
      </c>
      <c r="F50" s="221">
        <v>0</v>
      </c>
      <c r="G50" s="221">
        <v>0</v>
      </c>
      <c r="H50" s="221">
        <v>140.30000000000001</v>
      </c>
      <c r="I50" s="221">
        <v>0</v>
      </c>
      <c r="J50" s="222">
        <v>140.30000000000001</v>
      </c>
      <c r="K50" s="219"/>
      <c r="L50" s="219">
        <f>+C50-[1]AIF!C146</f>
        <v>0</v>
      </c>
      <c r="M50" s="219">
        <f>+D50-[1]AIF!D146</f>
        <v>0</v>
      </c>
      <c r="N50" s="219">
        <f>+E50-[1]AIF!E146</f>
        <v>0</v>
      </c>
      <c r="O50" s="219">
        <f>+F50-[1]AIF!F146</f>
        <v>0</v>
      </c>
      <c r="P50" s="219">
        <f>+G50-[1]AIF!G146</f>
        <v>0</v>
      </c>
      <c r="Q50" s="219">
        <f>+H50-[1]AIF!H146</f>
        <v>0</v>
      </c>
      <c r="R50" s="219">
        <f>+I50-[1]AIF!I146</f>
        <v>0</v>
      </c>
      <c r="S50" s="219">
        <f>+J50-[1]AIF!J146</f>
        <v>0</v>
      </c>
    </row>
    <row r="51" spans="1:19">
      <c r="A51" s="200"/>
      <c r="B51" s="220" t="s">
        <v>178</v>
      </c>
      <c r="C51" s="221">
        <v>0</v>
      </c>
      <c r="D51" s="221">
        <v>0</v>
      </c>
      <c r="E51" s="221">
        <v>0</v>
      </c>
      <c r="F51" s="221">
        <v>0</v>
      </c>
      <c r="G51" s="221">
        <v>0</v>
      </c>
      <c r="H51" s="221">
        <v>0</v>
      </c>
      <c r="I51" s="221">
        <v>0</v>
      </c>
      <c r="J51" s="222">
        <v>0</v>
      </c>
      <c r="K51" s="219"/>
      <c r="L51" s="219">
        <f>+C51-[1]AIF!C147</f>
        <v>0</v>
      </c>
      <c r="M51" s="219">
        <f>+D51-[1]AIF!D147</f>
        <v>0</v>
      </c>
      <c r="N51" s="219">
        <f>+E51-[1]AIF!E147</f>
        <v>0</v>
      </c>
      <c r="O51" s="219">
        <f>+F51-[1]AIF!F147</f>
        <v>0</v>
      </c>
      <c r="P51" s="219">
        <f>+G51-[1]AIF!G147</f>
        <v>0</v>
      </c>
      <c r="Q51" s="219">
        <f>+H51-[1]AIF!H147</f>
        <v>0</v>
      </c>
      <c r="R51" s="219">
        <f>+I51-[1]AIF!I147</f>
        <v>0</v>
      </c>
      <c r="S51" s="219">
        <f>+J51-[1]AIF!J147</f>
        <v>0</v>
      </c>
    </row>
    <row r="52" spans="1:19">
      <c r="A52" s="200"/>
      <c r="B52" s="220" t="s">
        <v>181</v>
      </c>
      <c r="C52" s="221">
        <v>6.3</v>
      </c>
      <c r="D52" s="221">
        <v>0</v>
      </c>
      <c r="E52" s="221">
        <v>134</v>
      </c>
      <c r="F52" s="221">
        <v>0</v>
      </c>
      <c r="G52" s="221">
        <v>0</v>
      </c>
      <c r="H52" s="221">
        <v>140.30000000000001</v>
      </c>
      <c r="I52" s="221">
        <v>0</v>
      </c>
      <c r="J52" s="222">
        <v>140.30000000000001</v>
      </c>
      <c r="K52" s="219"/>
      <c r="L52" s="219">
        <f>+C52-[1]AIF!C148</f>
        <v>0</v>
      </c>
      <c r="M52" s="219">
        <f>+D52-[1]AIF!D148</f>
        <v>0</v>
      </c>
      <c r="N52" s="219">
        <f>+E52-[1]AIF!E148</f>
        <v>0</v>
      </c>
      <c r="O52" s="219">
        <f>+F52-[1]AIF!F148</f>
        <v>0</v>
      </c>
      <c r="P52" s="219">
        <f>+G52-[1]AIF!G148</f>
        <v>0</v>
      </c>
      <c r="Q52" s="219">
        <f>+H52-[1]AIF!H148</f>
        <v>0</v>
      </c>
      <c r="R52" s="219">
        <f>+I52-[1]AIF!I148</f>
        <v>0</v>
      </c>
      <c r="S52" s="219">
        <f>+J52-[1]AIF!J148</f>
        <v>0</v>
      </c>
    </row>
    <row r="53" spans="1:19" ht="4.5" customHeight="1">
      <c r="A53" s="200"/>
      <c r="B53" s="220"/>
      <c r="C53" s="221"/>
      <c r="D53" s="221"/>
      <c r="E53" s="221"/>
      <c r="F53" s="221"/>
      <c r="G53" s="221"/>
      <c r="H53" s="221"/>
      <c r="I53" s="221"/>
      <c r="J53" s="222"/>
      <c r="K53" s="219"/>
      <c r="L53" s="219">
        <f>+C53-[1]AIF!C149</f>
        <v>0</v>
      </c>
      <c r="M53" s="219">
        <f>+D53-[1]AIF!D149</f>
        <v>0</v>
      </c>
      <c r="N53" s="219">
        <f>+E53-[1]AIF!E149</f>
        <v>0</v>
      </c>
      <c r="O53" s="219">
        <f>+F53-[1]AIF!F149</f>
        <v>0</v>
      </c>
      <c r="P53" s="219">
        <f>+G53-[1]AIF!G149</f>
        <v>0</v>
      </c>
      <c r="Q53" s="219">
        <f>+H53-[1]AIF!H149</f>
        <v>0</v>
      </c>
      <c r="R53" s="219">
        <f>+I53-[1]AIF!I149</f>
        <v>0</v>
      </c>
      <c r="S53" s="219">
        <f>+J53-[1]AIF!J149</f>
        <v>0</v>
      </c>
    </row>
    <row r="54" spans="1:19">
      <c r="A54" s="215" t="s">
        <v>182</v>
      </c>
      <c r="B54" s="216" t="s">
        <v>183</v>
      </c>
      <c r="C54" s="217">
        <v>4284257.8</v>
      </c>
      <c r="D54" s="217">
        <v>362879.60000000009</v>
      </c>
      <c r="E54" s="217">
        <v>239634.19999999995</v>
      </c>
      <c r="F54" s="217">
        <v>5237020.6000000006</v>
      </c>
      <c r="G54" s="217">
        <v>3377.8</v>
      </c>
      <c r="H54" s="217">
        <v>10127170.000000002</v>
      </c>
      <c r="I54" s="217">
        <v>1238897.9999999998</v>
      </c>
      <c r="J54" s="218">
        <v>11366068.000000002</v>
      </c>
      <c r="K54" s="219"/>
      <c r="L54" s="219">
        <f>+C54-[1]AIF!C150</f>
        <v>0</v>
      </c>
      <c r="M54" s="219">
        <f>+D54-[1]AIF!D150</f>
        <v>0</v>
      </c>
      <c r="N54" s="219">
        <f>+E54-[1]AIF!E150</f>
        <v>0</v>
      </c>
      <c r="O54" s="219">
        <f>+F54-[1]AIF!F150</f>
        <v>0</v>
      </c>
      <c r="P54" s="219">
        <f>+G54-[1]AIF!G150</f>
        <v>0</v>
      </c>
      <c r="Q54" s="219">
        <f>+H54-[1]AIF!H150</f>
        <v>0</v>
      </c>
      <c r="R54" s="219">
        <f>+I54-[1]AIF!I150</f>
        <v>0</v>
      </c>
      <c r="S54" s="219">
        <f>+J54-[1]AIF!J150</f>
        <v>0</v>
      </c>
    </row>
    <row r="55" spans="1:19">
      <c r="A55" s="215" t="s">
        <v>184</v>
      </c>
      <c r="B55" s="216" t="s">
        <v>185</v>
      </c>
      <c r="C55" s="217">
        <v>3271209.9000000004</v>
      </c>
      <c r="D55" s="217">
        <v>235230.40000000002</v>
      </c>
      <c r="E55" s="217">
        <v>642678.19999999995</v>
      </c>
      <c r="F55" s="217">
        <v>5171315.1000000006</v>
      </c>
      <c r="G55" s="217">
        <v>134771.79999999999</v>
      </c>
      <c r="H55" s="217">
        <v>9455205.4000000022</v>
      </c>
      <c r="I55" s="217">
        <v>1520562.0999999996</v>
      </c>
      <c r="J55" s="218">
        <v>10975767.500000002</v>
      </c>
      <c r="K55" s="219"/>
      <c r="L55" s="219">
        <f>+C55-[1]AIF!C151</f>
        <v>0</v>
      </c>
      <c r="M55" s="219">
        <f>+D55-[1]AIF!D151</f>
        <v>0</v>
      </c>
      <c r="N55" s="219">
        <f>+E55-[1]AIF!E151</f>
        <v>0</v>
      </c>
      <c r="O55" s="219">
        <f>+F55-[1]AIF!F151</f>
        <v>0</v>
      </c>
      <c r="P55" s="219">
        <f>+G55-[1]AIF!G151</f>
        <v>0</v>
      </c>
      <c r="Q55" s="219">
        <f>+H55-[1]AIF!H151</f>
        <v>0</v>
      </c>
      <c r="R55" s="219">
        <f>+I55-[1]AIF!I151</f>
        <v>0</v>
      </c>
      <c r="S55" s="219">
        <f>+J55-[1]AIF!J151</f>
        <v>0</v>
      </c>
    </row>
    <row r="56" spans="1:19">
      <c r="A56" s="215" t="s">
        <v>186</v>
      </c>
      <c r="B56" s="216" t="s">
        <v>187</v>
      </c>
      <c r="C56" s="217">
        <v>1013047.8999999994</v>
      </c>
      <c r="D56" s="217">
        <v>127649.20000000007</v>
      </c>
      <c r="E56" s="217">
        <v>-403044</v>
      </c>
      <c r="F56" s="217">
        <v>65705.5</v>
      </c>
      <c r="G56" s="217">
        <v>-131394</v>
      </c>
      <c r="H56" s="217">
        <v>671964.59999999963</v>
      </c>
      <c r="I56" s="217">
        <v>-281664.09999999986</v>
      </c>
      <c r="J56" s="218">
        <v>390300.49999999977</v>
      </c>
      <c r="K56" s="219"/>
      <c r="L56" s="219">
        <f>+C56-[1]AIF!C152</f>
        <v>0</v>
      </c>
      <c r="M56" s="219">
        <f>+D56-[1]AIF!D152</f>
        <v>0</v>
      </c>
      <c r="N56" s="219">
        <f>+E56-[1]AIF!E152</f>
        <v>0</v>
      </c>
      <c r="O56" s="219">
        <f>+F56-[1]AIF!F152</f>
        <v>0</v>
      </c>
      <c r="P56" s="219">
        <f>+G56-[1]AIF!G152</f>
        <v>0</v>
      </c>
      <c r="Q56" s="219">
        <f>+H56-[1]AIF!H152</f>
        <v>0</v>
      </c>
      <c r="R56" s="219">
        <f>+I56-[1]AIF!I152</f>
        <v>0</v>
      </c>
      <c r="S56" s="219">
        <f>+J56-[1]AIF!J152</f>
        <v>0</v>
      </c>
    </row>
    <row r="57" spans="1:19" ht="5.25" customHeight="1">
      <c r="A57" s="215"/>
      <c r="B57" s="216"/>
      <c r="C57" s="217"/>
      <c r="D57" s="217"/>
      <c r="E57" s="217"/>
      <c r="F57" s="217"/>
      <c r="G57" s="217"/>
      <c r="H57" s="217"/>
      <c r="I57" s="217"/>
      <c r="J57" s="218"/>
      <c r="K57" s="219"/>
      <c r="L57" s="219">
        <f>+C57-[1]AIF!C153</f>
        <v>0</v>
      </c>
      <c r="M57" s="219">
        <f>+D57-[1]AIF!D153</f>
        <v>0</v>
      </c>
      <c r="N57" s="219">
        <f>+E57-[1]AIF!E153</f>
        <v>0</v>
      </c>
      <c r="O57" s="219">
        <f>+F57-[1]AIF!F153</f>
        <v>0</v>
      </c>
      <c r="P57" s="219">
        <f>+G57-[1]AIF!G153</f>
        <v>0</v>
      </c>
      <c r="Q57" s="219">
        <f>+H57-[1]AIF!H153</f>
        <v>0</v>
      </c>
      <c r="R57" s="219">
        <f>+I57-[1]AIF!I153</f>
        <v>0</v>
      </c>
      <c r="S57" s="219">
        <f>+J57-[1]AIF!J153</f>
        <v>0</v>
      </c>
    </row>
    <row r="58" spans="1:19">
      <c r="A58" s="215" t="s">
        <v>188</v>
      </c>
      <c r="B58" s="216" t="s">
        <v>189</v>
      </c>
      <c r="C58" s="217">
        <v>0</v>
      </c>
      <c r="D58" s="217">
        <v>6348.3</v>
      </c>
      <c r="E58" s="217">
        <v>567633.6</v>
      </c>
      <c r="F58" s="217">
        <v>358448.4</v>
      </c>
      <c r="G58" s="217">
        <v>131394</v>
      </c>
      <c r="H58" s="217">
        <v>1063824.3</v>
      </c>
      <c r="I58" s="217">
        <v>617375.19999999995</v>
      </c>
      <c r="J58" s="218">
        <v>1681199.5</v>
      </c>
      <c r="K58" s="219"/>
      <c r="L58" s="219">
        <f>+C58-[1]AIF!C154</f>
        <v>0</v>
      </c>
      <c r="M58" s="219">
        <f>+D58-[1]AIF!D154</f>
        <v>0</v>
      </c>
      <c r="N58" s="219">
        <f>+E58-[1]AIF!E154</f>
        <v>0</v>
      </c>
      <c r="O58" s="219">
        <f>+F58-[1]AIF!F154</f>
        <v>0</v>
      </c>
      <c r="P58" s="219">
        <f>+G58-[1]AIF!G154</f>
        <v>0</v>
      </c>
      <c r="Q58" s="219">
        <f>+H58-[1]AIF!H154</f>
        <v>0</v>
      </c>
      <c r="R58" s="219">
        <f>+I58-[1]AIF!I154</f>
        <v>0</v>
      </c>
      <c r="S58" s="219">
        <f>+J58-[1]AIF!J154</f>
        <v>0</v>
      </c>
    </row>
    <row r="59" spans="1:19">
      <c r="A59" s="200"/>
      <c r="B59" s="220" t="s">
        <v>190</v>
      </c>
      <c r="C59" s="221">
        <v>0</v>
      </c>
      <c r="D59" s="221">
        <v>0</v>
      </c>
      <c r="E59" s="221">
        <v>240412.40000000002</v>
      </c>
      <c r="F59" s="221">
        <v>138606</v>
      </c>
      <c r="G59" s="221">
        <v>131394</v>
      </c>
      <c r="H59" s="221">
        <v>510412.4</v>
      </c>
      <c r="I59" s="221">
        <v>434102.99999999994</v>
      </c>
      <c r="J59" s="222">
        <v>944515.39999999991</v>
      </c>
      <c r="K59" s="219"/>
      <c r="L59" s="219">
        <f>+C59-[1]AIF!C155</f>
        <v>0</v>
      </c>
      <c r="M59" s="219">
        <f>+D59-[1]AIF!D155</f>
        <v>0</v>
      </c>
      <c r="N59" s="219">
        <f>+E59-[1]AIF!E155</f>
        <v>0</v>
      </c>
      <c r="O59" s="219">
        <f>+F59-[1]AIF!F155</f>
        <v>0</v>
      </c>
      <c r="P59" s="219">
        <f>+G59-[1]AIF!G155</f>
        <v>0</v>
      </c>
      <c r="Q59" s="219">
        <f>+H59-[1]AIF!H155</f>
        <v>0</v>
      </c>
      <c r="R59" s="219">
        <f>+I59-[1]AIF!I155</f>
        <v>0</v>
      </c>
      <c r="S59" s="219">
        <f>+J59-[1]AIF!J155</f>
        <v>0</v>
      </c>
    </row>
    <row r="60" spans="1:19">
      <c r="A60" s="200"/>
      <c r="B60" s="220" t="s">
        <v>191</v>
      </c>
      <c r="C60" s="221">
        <v>0</v>
      </c>
      <c r="D60" s="221">
        <v>6348.3</v>
      </c>
      <c r="E60" s="221">
        <v>1376.5</v>
      </c>
      <c r="F60" s="221">
        <v>0</v>
      </c>
      <c r="G60" s="221">
        <v>0</v>
      </c>
      <c r="H60" s="221">
        <v>7724.8</v>
      </c>
      <c r="I60" s="221">
        <v>24896.2</v>
      </c>
      <c r="J60" s="222">
        <v>32621</v>
      </c>
      <c r="K60" s="219"/>
      <c r="L60" s="219">
        <f>+C60-[1]AIF!C156</f>
        <v>0</v>
      </c>
      <c r="M60" s="219">
        <f>+D60-[1]AIF!D156</f>
        <v>0</v>
      </c>
      <c r="N60" s="219">
        <f>+E60-[1]AIF!E156</f>
        <v>0</v>
      </c>
      <c r="O60" s="219">
        <f>+F60-[1]AIF!F156</f>
        <v>0</v>
      </c>
      <c r="P60" s="219">
        <f>+G60-[1]AIF!G156</f>
        <v>0</v>
      </c>
      <c r="Q60" s="219">
        <f>+H60-[1]AIF!H156</f>
        <v>0</v>
      </c>
      <c r="R60" s="219">
        <f>+I60-[1]AIF!I156</f>
        <v>0</v>
      </c>
      <c r="S60" s="219">
        <f>+J60-[1]AIF!J156</f>
        <v>0</v>
      </c>
    </row>
    <row r="61" spans="1:19">
      <c r="A61" s="200"/>
      <c r="B61" s="220" t="s">
        <v>192</v>
      </c>
      <c r="C61" s="221">
        <v>0</v>
      </c>
      <c r="D61" s="221">
        <v>0</v>
      </c>
      <c r="E61" s="221">
        <v>22.5</v>
      </c>
      <c r="F61" s="221">
        <v>0</v>
      </c>
      <c r="G61" s="221">
        <v>0</v>
      </c>
      <c r="H61" s="221">
        <v>22.5</v>
      </c>
      <c r="I61" s="221">
        <v>0</v>
      </c>
      <c r="J61" s="222">
        <v>22.5</v>
      </c>
      <c r="K61" s="219"/>
      <c r="L61" s="219">
        <f>+C61-[1]AIF!C157</f>
        <v>0</v>
      </c>
      <c r="M61" s="219">
        <f>+D61-[1]AIF!D157</f>
        <v>0</v>
      </c>
      <c r="N61" s="219">
        <f>+E61-[1]AIF!E157</f>
        <v>0</v>
      </c>
      <c r="O61" s="219">
        <f>+F61-[1]AIF!F157</f>
        <v>0</v>
      </c>
      <c r="P61" s="219">
        <f>+G61-[1]AIF!G157</f>
        <v>0</v>
      </c>
      <c r="Q61" s="219">
        <f>+H61-[1]AIF!H157</f>
        <v>0</v>
      </c>
      <c r="R61" s="219">
        <f>+I61-[1]AIF!I157</f>
        <v>0</v>
      </c>
      <c r="S61" s="219">
        <f>+J61-[1]AIF!J157</f>
        <v>0</v>
      </c>
    </row>
    <row r="62" spans="1:19">
      <c r="A62" s="200"/>
      <c r="B62" s="220" t="s">
        <v>193</v>
      </c>
      <c r="C62" s="221">
        <v>0</v>
      </c>
      <c r="D62" s="221">
        <v>0</v>
      </c>
      <c r="E62" s="221">
        <v>320668.5</v>
      </c>
      <c r="F62" s="221">
        <v>219842.4</v>
      </c>
      <c r="G62" s="221">
        <v>0</v>
      </c>
      <c r="H62" s="221">
        <v>540510.9</v>
      </c>
      <c r="I62" s="221">
        <v>158376</v>
      </c>
      <c r="J62" s="222">
        <v>698886.9</v>
      </c>
      <c r="K62" s="219"/>
      <c r="L62" s="219">
        <f>+C62-[1]AIF!C158</f>
        <v>0</v>
      </c>
      <c r="M62" s="219">
        <f>+D62-[1]AIF!D158</f>
        <v>0</v>
      </c>
      <c r="N62" s="219">
        <f>+E62-[1]AIF!E158</f>
        <v>0</v>
      </c>
      <c r="O62" s="219">
        <f>+F62-[1]AIF!F158</f>
        <v>0</v>
      </c>
      <c r="P62" s="219">
        <f>+G62-[1]AIF!G158</f>
        <v>0</v>
      </c>
      <c r="Q62" s="219">
        <f>+H62-[1]AIF!H158</f>
        <v>0</v>
      </c>
      <c r="R62" s="219">
        <f>+I62-[1]AIF!I158</f>
        <v>0</v>
      </c>
      <c r="S62" s="219">
        <f>+J62-[1]AIF!J158</f>
        <v>0</v>
      </c>
    </row>
    <row r="63" spans="1:19">
      <c r="A63" s="200"/>
      <c r="B63" s="220" t="s">
        <v>194</v>
      </c>
      <c r="C63" s="221">
        <v>0</v>
      </c>
      <c r="D63" s="221">
        <v>0</v>
      </c>
      <c r="E63" s="221">
        <v>0</v>
      </c>
      <c r="F63" s="221">
        <v>0</v>
      </c>
      <c r="G63" s="221">
        <v>0</v>
      </c>
      <c r="H63" s="221">
        <v>0</v>
      </c>
      <c r="I63" s="221">
        <v>0</v>
      </c>
      <c r="J63" s="222">
        <v>0</v>
      </c>
      <c r="K63" s="219"/>
      <c r="L63" s="219">
        <f>+C63-[1]AIF!C159</f>
        <v>0</v>
      </c>
      <c r="M63" s="219">
        <f>+D63-[1]AIF!D159</f>
        <v>0</v>
      </c>
      <c r="N63" s="219">
        <f>+E63-[1]AIF!E159</f>
        <v>0</v>
      </c>
      <c r="O63" s="219">
        <f>+F63-[1]AIF!F159</f>
        <v>0</v>
      </c>
      <c r="P63" s="219">
        <f>+G63-[1]AIF!G159</f>
        <v>0</v>
      </c>
      <c r="Q63" s="219">
        <f>+H63-[1]AIF!H159</f>
        <v>0</v>
      </c>
      <c r="R63" s="219">
        <f>+I63-[1]AIF!I159</f>
        <v>0</v>
      </c>
      <c r="S63" s="219">
        <f>+J63-[1]AIF!J159</f>
        <v>0</v>
      </c>
    </row>
    <row r="64" spans="1:19">
      <c r="A64" s="200"/>
      <c r="B64" s="220" t="s">
        <v>195</v>
      </c>
      <c r="C64" s="221">
        <v>0</v>
      </c>
      <c r="D64" s="221">
        <v>0</v>
      </c>
      <c r="E64" s="221">
        <v>5153.7</v>
      </c>
      <c r="F64" s="221">
        <v>0</v>
      </c>
      <c r="G64" s="221">
        <v>0</v>
      </c>
      <c r="H64" s="221">
        <v>5153.7</v>
      </c>
      <c r="I64" s="221">
        <v>0</v>
      </c>
      <c r="J64" s="222">
        <v>5153.7</v>
      </c>
      <c r="K64" s="219"/>
      <c r="L64" s="219">
        <f>+C64-[1]AIF!C160</f>
        <v>0</v>
      </c>
      <c r="M64" s="219">
        <f>+D64-[1]AIF!D160</f>
        <v>0</v>
      </c>
      <c r="N64" s="219">
        <f>+E64-[1]AIF!E160</f>
        <v>0</v>
      </c>
      <c r="O64" s="219">
        <f>+F64-[1]AIF!F160</f>
        <v>0</v>
      </c>
      <c r="P64" s="219">
        <f>+G64-[1]AIF!G160</f>
        <v>0</v>
      </c>
      <c r="Q64" s="219">
        <f>+H64-[1]AIF!H160</f>
        <v>0</v>
      </c>
      <c r="R64" s="219">
        <f>+I64-[1]AIF!I160</f>
        <v>0</v>
      </c>
      <c r="S64" s="219">
        <f>+J64-[1]AIF!J160</f>
        <v>0</v>
      </c>
    </row>
    <row r="65" spans="1:19">
      <c r="A65" s="215" t="s">
        <v>196</v>
      </c>
      <c r="B65" s="216" t="s">
        <v>197</v>
      </c>
      <c r="C65" s="217">
        <v>944515.39999999991</v>
      </c>
      <c r="D65" s="217">
        <v>32621</v>
      </c>
      <c r="E65" s="217">
        <v>22.5</v>
      </c>
      <c r="F65" s="217">
        <v>698886.9</v>
      </c>
      <c r="G65" s="217">
        <v>0</v>
      </c>
      <c r="H65" s="217">
        <v>1676045.7999999998</v>
      </c>
      <c r="I65" s="217">
        <v>5153.7</v>
      </c>
      <c r="J65" s="218">
        <v>1681199.4999999998</v>
      </c>
      <c r="K65" s="219"/>
      <c r="L65" s="219">
        <f>+C65-[1]AIF!C161</f>
        <v>0</v>
      </c>
      <c r="M65" s="219">
        <f>+D65-[1]AIF!D161</f>
        <v>0</v>
      </c>
      <c r="N65" s="219">
        <f>+E65-[1]AIF!E161</f>
        <v>0</v>
      </c>
      <c r="O65" s="219">
        <f>+F65-[1]AIF!F161</f>
        <v>0</v>
      </c>
      <c r="P65" s="219">
        <f>+G65-[1]AIF!G161</f>
        <v>0</v>
      </c>
      <c r="Q65" s="219">
        <f>+H65-[1]AIF!H161</f>
        <v>0</v>
      </c>
      <c r="R65" s="219">
        <f>+I65-[1]AIF!I161</f>
        <v>0</v>
      </c>
      <c r="S65" s="219">
        <f>+J65-[1]AIF!J161</f>
        <v>0</v>
      </c>
    </row>
    <row r="66" spans="1:19" ht="6.75" customHeight="1">
      <c r="A66" s="215"/>
      <c r="B66" s="216"/>
      <c r="C66" s="217"/>
      <c r="D66" s="217"/>
      <c r="E66" s="217"/>
      <c r="F66" s="224"/>
      <c r="G66" s="224"/>
      <c r="H66" s="217"/>
      <c r="I66" s="217"/>
      <c r="J66" s="218"/>
      <c r="K66" s="219"/>
      <c r="L66" s="219">
        <f>+C66-[1]AIF!C162</f>
        <v>0</v>
      </c>
      <c r="M66" s="219">
        <f>+D66-[1]AIF!D162</f>
        <v>0</v>
      </c>
      <c r="N66" s="219">
        <f>+E66-[1]AIF!E162</f>
        <v>0</v>
      </c>
      <c r="O66" s="219">
        <f>+F66-[1]AIF!F162</f>
        <v>0</v>
      </c>
      <c r="P66" s="219">
        <f>+G66-[1]AIF!G162</f>
        <v>0</v>
      </c>
      <c r="Q66" s="219">
        <f>+H66-[1]AIF!H162</f>
        <v>0</v>
      </c>
      <c r="R66" s="219">
        <f>+I66-[1]AIF!I162</f>
        <v>0</v>
      </c>
      <c r="S66" s="219">
        <f>+J66-[1]AIF!J162</f>
        <v>0</v>
      </c>
    </row>
    <row r="67" spans="1:19">
      <c r="A67" s="215" t="s">
        <v>198</v>
      </c>
      <c r="B67" s="216" t="s">
        <v>199</v>
      </c>
      <c r="C67" s="217">
        <v>4284257.8</v>
      </c>
      <c r="D67" s="217">
        <v>369227.90000000008</v>
      </c>
      <c r="E67" s="217">
        <v>807267.79999999993</v>
      </c>
      <c r="F67" s="217">
        <v>5595469.0000000009</v>
      </c>
      <c r="G67" s="217">
        <v>134771.79999999999</v>
      </c>
      <c r="H67" s="217">
        <v>11190994.300000001</v>
      </c>
      <c r="I67" s="217">
        <v>1856273.1999999997</v>
      </c>
      <c r="J67" s="218">
        <v>13047267.5</v>
      </c>
      <c r="K67" s="219"/>
      <c r="L67" s="219">
        <f>+C67-[1]AIF!C163</f>
        <v>0</v>
      </c>
      <c r="M67" s="219">
        <f>+D67-[1]AIF!D163</f>
        <v>0</v>
      </c>
      <c r="N67" s="219">
        <f>+E67-[1]AIF!E163</f>
        <v>0</v>
      </c>
      <c r="O67" s="219">
        <f>+F67-[1]AIF!F163</f>
        <v>0</v>
      </c>
      <c r="P67" s="219">
        <f>+G67-[1]AIF!G163</f>
        <v>0</v>
      </c>
      <c r="Q67" s="219">
        <f>+H67-[1]AIF!H163</f>
        <v>0</v>
      </c>
      <c r="R67" s="219">
        <f>+I67-[1]AIF!I163</f>
        <v>0</v>
      </c>
      <c r="S67" s="219">
        <f>+J67-[1]AIF!J163</f>
        <v>0</v>
      </c>
    </row>
    <row r="68" spans="1:19">
      <c r="A68" s="215" t="s">
        <v>200</v>
      </c>
      <c r="B68" s="216" t="s">
        <v>201</v>
      </c>
      <c r="C68" s="217">
        <v>3054374.2000000007</v>
      </c>
      <c r="D68" s="217">
        <v>267851.40000000002</v>
      </c>
      <c r="E68" s="217">
        <v>642687.89999999991</v>
      </c>
      <c r="F68" s="217">
        <v>5870202.0000000009</v>
      </c>
      <c r="G68" s="217">
        <v>134771.79999999999</v>
      </c>
      <c r="H68" s="217">
        <v>9969887.3000000026</v>
      </c>
      <c r="I68" s="217">
        <v>1520516.1999999995</v>
      </c>
      <c r="J68" s="218">
        <v>11490403.500000002</v>
      </c>
      <c r="K68" s="219"/>
      <c r="L68" s="219">
        <f>+C68-[1]AIF!C164</f>
        <v>0</v>
      </c>
      <c r="M68" s="219">
        <f>+D68-[1]AIF!D164</f>
        <v>0</v>
      </c>
      <c r="N68" s="219">
        <f>+E68-[1]AIF!E164</f>
        <v>0</v>
      </c>
      <c r="O68" s="219">
        <f>+F68-[1]AIF!F164</f>
        <v>0</v>
      </c>
      <c r="P68" s="219">
        <f>+G68-[1]AIF!G164</f>
        <v>0</v>
      </c>
      <c r="Q68" s="219">
        <f>+H68-[1]AIF!H164</f>
        <v>0</v>
      </c>
      <c r="R68" s="219">
        <f>+I68-[1]AIF!I164</f>
        <v>0</v>
      </c>
      <c r="S68" s="219">
        <f>+J68-[1]AIF!J164</f>
        <v>0</v>
      </c>
    </row>
    <row r="69" spans="1:19" ht="15" thickBot="1">
      <c r="A69" s="215" t="s">
        <v>202</v>
      </c>
      <c r="B69" s="216" t="s">
        <v>203</v>
      </c>
      <c r="C69" s="217">
        <v>4215725.3000000007</v>
      </c>
      <c r="D69" s="217">
        <v>267851.40000000002</v>
      </c>
      <c r="E69" s="217">
        <v>642700.69999999995</v>
      </c>
      <c r="F69" s="217">
        <v>5870202.0000000009</v>
      </c>
      <c r="G69" s="217">
        <v>134771.79999999999</v>
      </c>
      <c r="H69" s="217">
        <v>11131251.200000003</v>
      </c>
      <c r="I69" s="217">
        <v>1525715.7999999996</v>
      </c>
      <c r="J69" s="218">
        <v>12656967.000000002</v>
      </c>
      <c r="K69" s="219"/>
      <c r="L69" s="219">
        <f>+C69-[1]AIF!C165</f>
        <v>0</v>
      </c>
      <c r="M69" s="219">
        <f>+D69-[1]AIF!D165</f>
        <v>0</v>
      </c>
      <c r="N69" s="219">
        <f>+E69-[1]AIF!E165</f>
        <v>0</v>
      </c>
      <c r="O69" s="219">
        <f>+F69-[1]AIF!F165</f>
        <v>0</v>
      </c>
      <c r="P69" s="219">
        <f>+G69-[1]AIF!G165</f>
        <v>0</v>
      </c>
      <c r="Q69" s="219">
        <f>+H69-[1]AIF!H165</f>
        <v>0</v>
      </c>
      <c r="R69" s="219">
        <f>+I69-[1]AIF!I165</f>
        <v>0</v>
      </c>
      <c r="S69" s="219">
        <f>+J69-[1]AIF!J165</f>
        <v>0</v>
      </c>
    </row>
    <row r="70" spans="1:19" ht="17.25" customHeight="1">
      <c r="A70" s="225" t="s">
        <v>204</v>
      </c>
      <c r="B70" s="226" t="s">
        <v>205</v>
      </c>
      <c r="C70" s="227">
        <v>1229883.5999999992</v>
      </c>
      <c r="D70" s="227">
        <v>101376.50000000006</v>
      </c>
      <c r="E70" s="227">
        <v>164579.90000000002</v>
      </c>
      <c r="F70" s="227">
        <v>-274733</v>
      </c>
      <c r="G70" s="227">
        <v>0</v>
      </c>
      <c r="H70" s="227">
        <v>1221106.9999999991</v>
      </c>
      <c r="I70" s="227">
        <v>335757.00000000023</v>
      </c>
      <c r="J70" s="228">
        <v>1556863.9999999993</v>
      </c>
      <c r="K70" s="219"/>
      <c r="L70" s="219">
        <f>+C70-[1]AIF!C166</f>
        <v>0</v>
      </c>
      <c r="M70" s="219">
        <f>+D70-[1]AIF!D166</f>
        <v>0</v>
      </c>
      <c r="N70" s="219">
        <f>+E70-[1]AIF!E166</f>
        <v>0</v>
      </c>
      <c r="O70" s="219">
        <f>+F70-[1]AIF!F166</f>
        <v>0</v>
      </c>
      <c r="P70" s="219">
        <f>+G70-[1]AIF!G166</f>
        <v>0</v>
      </c>
      <c r="Q70" s="219">
        <f>+H70-[1]AIF!H166</f>
        <v>0</v>
      </c>
      <c r="R70" s="219">
        <f>+I70-[1]AIF!I166</f>
        <v>0</v>
      </c>
      <c r="S70" s="219">
        <f>+J70-[1]AIF!J166</f>
        <v>0</v>
      </c>
    </row>
    <row r="71" spans="1:19" ht="17.25" customHeight="1" thickBot="1">
      <c r="A71" s="229" t="s">
        <v>206</v>
      </c>
      <c r="B71" s="230" t="s">
        <v>207</v>
      </c>
      <c r="C71" s="231">
        <v>68532.499999999069</v>
      </c>
      <c r="D71" s="231">
        <v>101376.50000000006</v>
      </c>
      <c r="E71" s="231">
        <v>164567.09999999998</v>
      </c>
      <c r="F71" s="231">
        <v>-274733</v>
      </c>
      <c r="G71" s="231">
        <v>0</v>
      </c>
      <c r="H71" s="231">
        <v>59743.099999999104</v>
      </c>
      <c r="I71" s="231">
        <v>330557.40000000014</v>
      </c>
      <c r="J71" s="232">
        <v>390300.49999999924</v>
      </c>
      <c r="K71" s="219"/>
      <c r="L71" s="219">
        <f>+C71-[1]AIF!C167</f>
        <v>0</v>
      </c>
      <c r="M71" s="219">
        <f>+D71-[1]AIF!D167</f>
        <v>0</v>
      </c>
      <c r="N71" s="219">
        <f>+E71-[1]AIF!E167</f>
        <v>0</v>
      </c>
      <c r="O71" s="219">
        <f>+F71-[1]AIF!F167</f>
        <v>0</v>
      </c>
      <c r="P71" s="219">
        <f>+G71-[1]AIF!G167</f>
        <v>0</v>
      </c>
      <c r="Q71" s="219">
        <f>+H71-[1]AIF!H167</f>
        <v>0</v>
      </c>
      <c r="R71" s="219">
        <f>+I71-[1]AIF!I167</f>
        <v>0</v>
      </c>
      <c r="S71" s="219">
        <f>+J71-[1]AIF!J167</f>
        <v>0</v>
      </c>
    </row>
    <row r="72" spans="1:19" ht="4.5" customHeight="1">
      <c r="A72" s="233"/>
      <c r="C72" s="221"/>
      <c r="D72" s="221"/>
      <c r="E72" s="221"/>
      <c r="F72" s="221"/>
      <c r="G72" s="221"/>
      <c r="H72" s="221"/>
      <c r="I72" s="221"/>
      <c r="J72" s="234"/>
      <c r="K72" s="219"/>
      <c r="L72" s="219">
        <f>+C72-[1]AIF!C168</f>
        <v>0</v>
      </c>
      <c r="M72" s="219">
        <f>+D72-[1]AIF!D168</f>
        <v>0</v>
      </c>
      <c r="N72" s="219">
        <f>+E72-[1]AIF!E168</f>
        <v>0</v>
      </c>
      <c r="O72" s="219">
        <f>+F72-[1]AIF!F168</f>
        <v>0</v>
      </c>
      <c r="P72" s="219">
        <f>+G72-[1]AIF!G168</f>
        <v>0</v>
      </c>
      <c r="Q72" s="219">
        <f>+H72-[1]AIF!H168</f>
        <v>0</v>
      </c>
      <c r="R72" s="219">
        <f>+I72-[1]AIF!I168</f>
        <v>0</v>
      </c>
      <c r="S72" s="219">
        <f>+J72-[1]AIF!J168</f>
        <v>0</v>
      </c>
    </row>
    <row r="73" spans="1:19" ht="13.5" customHeight="1">
      <c r="A73" s="235"/>
      <c r="B73" s="236" t="s">
        <v>208</v>
      </c>
      <c r="C73" s="221">
        <v>0</v>
      </c>
      <c r="D73" s="221">
        <v>0</v>
      </c>
      <c r="E73" s="221">
        <v>0</v>
      </c>
      <c r="F73" s="221">
        <v>0</v>
      </c>
      <c r="G73" s="221">
        <v>0</v>
      </c>
      <c r="H73" s="221">
        <v>0</v>
      </c>
      <c r="I73" s="221">
        <v>0</v>
      </c>
      <c r="J73" s="222">
        <v>0</v>
      </c>
      <c r="K73" s="219"/>
      <c r="L73" s="219">
        <f>+C73-[1]AIF!C169</f>
        <v>0</v>
      </c>
      <c r="M73" s="219">
        <f>+D73-[1]AIF!D169</f>
        <v>0</v>
      </c>
      <c r="N73" s="219">
        <f>+E73-[1]AIF!E169</f>
        <v>0</v>
      </c>
      <c r="O73" s="219">
        <f>+F73-[1]AIF!F169</f>
        <v>0</v>
      </c>
      <c r="P73" s="219">
        <f>+G73-[1]AIF!G169</f>
        <v>0</v>
      </c>
      <c r="Q73" s="219">
        <f>+H73-[1]AIF!H169</f>
        <v>0</v>
      </c>
      <c r="R73" s="219">
        <f>+I73-[1]AIF!I169</f>
        <v>0</v>
      </c>
      <c r="S73" s="219">
        <f>+J73-[1]AIF!J169</f>
        <v>0</v>
      </c>
    </row>
    <row r="74" spans="1:19">
      <c r="A74" s="235"/>
      <c r="B74" s="236" t="s">
        <v>209</v>
      </c>
      <c r="C74" s="221">
        <v>0</v>
      </c>
      <c r="D74" s="221">
        <v>0</v>
      </c>
      <c r="E74" s="221">
        <v>31.4</v>
      </c>
      <c r="F74" s="221">
        <v>2508.5</v>
      </c>
      <c r="G74" s="221">
        <v>0</v>
      </c>
      <c r="H74" s="221">
        <v>2539.9</v>
      </c>
      <c r="I74" s="221">
        <v>0</v>
      </c>
      <c r="J74" s="222">
        <v>2539.9</v>
      </c>
      <c r="K74" s="219"/>
      <c r="L74" s="219">
        <f>+C74-[1]AIF!C170</f>
        <v>0</v>
      </c>
      <c r="M74" s="219">
        <f>+D74-[1]AIF!D170</f>
        <v>0</v>
      </c>
      <c r="N74" s="219">
        <f>+E74-[1]AIF!E170</f>
        <v>0</v>
      </c>
      <c r="O74" s="219">
        <f>+F74-[1]AIF!F170</f>
        <v>0</v>
      </c>
      <c r="P74" s="219">
        <f>+G74-[1]AIF!G170</f>
        <v>0</v>
      </c>
      <c r="Q74" s="219">
        <f>+H74-[1]AIF!H170</f>
        <v>0</v>
      </c>
      <c r="R74" s="219">
        <f>+I74-[1]AIF!I170</f>
        <v>0</v>
      </c>
      <c r="S74" s="219">
        <f>+J74-[1]AIF!J170</f>
        <v>0</v>
      </c>
    </row>
    <row r="75" spans="1:19">
      <c r="A75" s="235"/>
      <c r="B75" s="236" t="s">
        <v>210</v>
      </c>
      <c r="C75" s="221">
        <v>1992.5</v>
      </c>
      <c r="D75" s="221">
        <v>0</v>
      </c>
      <c r="E75" s="221">
        <v>0</v>
      </c>
      <c r="F75" s="221">
        <v>0</v>
      </c>
      <c r="G75" s="221">
        <v>0</v>
      </c>
      <c r="H75" s="221">
        <v>1992.5</v>
      </c>
      <c r="I75" s="221">
        <v>547.4</v>
      </c>
      <c r="J75" s="222">
        <v>2539.9</v>
      </c>
      <c r="K75" s="219"/>
      <c r="L75" s="219">
        <f>+C75-[1]AIF!C171</f>
        <v>0</v>
      </c>
      <c r="M75" s="219">
        <f>+D75-[1]AIF!D171</f>
        <v>0</v>
      </c>
      <c r="N75" s="219">
        <f>+E75-[1]AIF!E171</f>
        <v>0</v>
      </c>
      <c r="O75" s="219">
        <f>+F75-[1]AIF!F171</f>
        <v>0</v>
      </c>
      <c r="P75" s="219">
        <f>+G75-[1]AIF!G171</f>
        <v>0</v>
      </c>
      <c r="Q75" s="219">
        <f>+H75-[1]AIF!H171</f>
        <v>0</v>
      </c>
      <c r="R75" s="219">
        <f>+I75-[1]AIF!I171</f>
        <v>0</v>
      </c>
      <c r="S75" s="219">
        <f>+J75-[1]AIF!J171</f>
        <v>0</v>
      </c>
    </row>
    <row r="76" spans="1:19" ht="4.5" customHeight="1" thickBot="1">
      <c r="A76" s="237"/>
      <c r="B76" s="238"/>
      <c r="C76" s="239"/>
      <c r="D76" s="239"/>
      <c r="E76" s="239"/>
      <c r="F76" s="239"/>
      <c r="G76" s="239"/>
      <c r="H76" s="239"/>
      <c r="I76" s="239"/>
      <c r="J76" s="240"/>
      <c r="K76" s="219"/>
      <c r="L76" s="219"/>
      <c r="M76" s="219"/>
      <c r="N76" s="219"/>
    </row>
    <row r="77" spans="1:19" ht="0.75" customHeight="1">
      <c r="A77" s="220"/>
      <c r="B77" s="241"/>
      <c r="C77" s="242"/>
      <c r="D77" s="242"/>
      <c r="E77" s="242"/>
      <c r="F77" s="242"/>
      <c r="G77" s="242"/>
      <c r="H77" s="242"/>
      <c r="I77" s="242"/>
      <c r="J77" s="242"/>
    </row>
    <row r="78" spans="1:19" s="244" customFormat="1" ht="13.5" customHeight="1">
      <c r="A78" s="243" t="s">
        <v>211</v>
      </c>
      <c r="B78" s="243"/>
      <c r="C78" s="243"/>
      <c r="D78" s="243"/>
      <c r="E78" s="243"/>
      <c r="F78" s="243"/>
      <c r="G78" s="243"/>
      <c r="H78" s="243"/>
      <c r="I78" s="243"/>
      <c r="J78" s="243"/>
    </row>
    <row r="79" spans="1:19" s="244" customFormat="1" ht="12.75" customHeight="1">
      <c r="A79" s="245"/>
      <c r="B79" s="246" t="s">
        <v>212</v>
      </c>
      <c r="C79" s="246"/>
      <c r="D79" s="246"/>
      <c r="E79" s="246"/>
      <c r="F79" s="246"/>
      <c r="G79" s="246"/>
      <c r="H79" s="246"/>
      <c r="I79" s="246"/>
      <c r="J79" s="246"/>
    </row>
    <row r="80" spans="1:19" s="244" customFormat="1" ht="12.75" customHeight="1">
      <c r="A80" s="245"/>
      <c r="B80" s="257" t="s">
        <v>213</v>
      </c>
      <c r="C80" s="257"/>
      <c r="D80" s="257"/>
      <c r="E80" s="257"/>
      <c r="F80" s="257"/>
      <c r="G80" s="257"/>
      <c r="H80" s="257"/>
      <c r="I80" s="257"/>
      <c r="J80" s="257"/>
    </row>
    <row r="81" spans="1:10" s="244" customFormat="1" ht="18" customHeight="1">
      <c r="A81" s="247" t="s">
        <v>214</v>
      </c>
      <c r="B81" s="245"/>
      <c r="C81" s="245"/>
      <c r="D81" s="245"/>
      <c r="E81" s="245"/>
      <c r="F81" s="248"/>
      <c r="G81" s="248"/>
      <c r="H81" s="245"/>
      <c r="I81" s="245"/>
      <c r="J81" s="245"/>
    </row>
    <row r="82" spans="1:10" ht="28.5" customHeight="1">
      <c r="A82" s="258" t="s">
        <v>215</v>
      </c>
      <c r="B82" s="258"/>
      <c r="C82" s="258"/>
      <c r="D82" s="258"/>
      <c r="E82" s="258"/>
      <c r="F82" s="258"/>
      <c r="G82" s="258"/>
      <c r="H82" s="258"/>
      <c r="I82" s="258"/>
      <c r="J82" s="258"/>
    </row>
    <row r="83" spans="1:10" hidden="1">
      <c r="C83" s="249">
        <f>+C10+C43-C21-C45+C58-C65-C71</f>
        <v>6.9849193096160889E-10</v>
      </c>
      <c r="D83" s="249">
        <f>+D10+D43-D21-D45+D58-D65-D71</f>
        <v>0</v>
      </c>
      <c r="E83" s="249">
        <f>+E10+E43-E21-E45+E58-E65-E71</f>
        <v>0</v>
      </c>
      <c r="F83" s="249">
        <f t="shared" ref="F83:J83" si="0">+F10+F43-F21-F45+F58-F65-F71</f>
        <v>0</v>
      </c>
      <c r="G83" s="249">
        <f t="shared" si="0"/>
        <v>0</v>
      </c>
      <c r="H83" s="249">
        <f t="shared" si="0"/>
        <v>4.4819898903369904E-9</v>
      </c>
      <c r="I83" s="249">
        <f t="shared" si="0"/>
        <v>0</v>
      </c>
      <c r="J83" s="249">
        <f t="shared" si="0"/>
        <v>5.1804818212985992E-9</v>
      </c>
    </row>
    <row r="84" spans="1:10">
      <c r="C84" s="249"/>
      <c r="D84" s="249"/>
      <c r="E84" s="249"/>
      <c r="F84" s="249"/>
      <c r="G84" s="249"/>
      <c r="H84" s="249"/>
      <c r="I84" s="249"/>
      <c r="J84" s="249"/>
    </row>
  </sheetData>
  <mergeCells count="2">
    <mergeCell ref="B80:J80"/>
    <mergeCell ref="A82:J82"/>
  </mergeCells>
  <printOptions horizontalCentered="1"/>
  <pageMargins left="0.19685039370078741" right="0.19685039370078741" top="0.98425196850393704" bottom="0.19685039370078741" header="0" footer="0"/>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baseColWidth="10" defaultColWidth="12.44140625" defaultRowHeight="15.6"/>
  <cols>
    <col min="1" max="1" width="4.6640625" style="10" customWidth="1"/>
    <col min="2" max="2" width="4.5546875" style="10" customWidth="1"/>
    <col min="3" max="3" width="4.44140625" style="10" customWidth="1"/>
    <col min="4" max="4" width="4" style="12" customWidth="1"/>
    <col min="5" max="5" width="2.44140625" style="13" customWidth="1"/>
    <col min="6" max="6" width="49.109375" style="14" customWidth="1"/>
    <col min="7" max="7" width="12.109375" style="14" customWidth="1"/>
    <col min="8" max="8" width="12.109375" style="74" customWidth="1"/>
    <col min="9" max="10" width="12.109375" style="14" customWidth="1"/>
    <col min="11" max="11" width="2.88671875" style="14" customWidth="1"/>
    <col min="12" max="237" width="12.44140625" style="10"/>
    <col min="238" max="238" width="4.6640625" style="10" customWidth="1"/>
    <col min="239" max="239" width="4.5546875" style="10" customWidth="1"/>
    <col min="240" max="240" width="4.44140625" style="10" customWidth="1"/>
    <col min="241" max="241" width="4" style="10" customWidth="1"/>
    <col min="242" max="242" width="2.44140625" style="10" customWidth="1"/>
    <col min="243" max="243" width="46.109375" style="10" customWidth="1"/>
    <col min="244" max="245" width="12.5546875" style="10" customWidth="1"/>
    <col min="246" max="246" width="11.109375" style="10" customWidth="1"/>
    <col min="247" max="247" width="12.109375" style="10" customWidth="1"/>
    <col min="248" max="248" width="2.88671875" style="10" customWidth="1"/>
    <col min="249" max="249" width="12.5546875" style="10" customWidth="1"/>
    <col min="250" max="250" width="12.44140625" style="10" customWidth="1"/>
    <col min="251" max="251" width="11.109375" style="10" customWidth="1"/>
    <col min="252" max="252" width="12.88671875" style="10" customWidth="1"/>
    <col min="253" max="253" width="12.44140625" style="10" customWidth="1"/>
    <col min="254" max="493" width="12.44140625" style="10"/>
    <col min="494" max="494" width="4.6640625" style="10" customWidth="1"/>
    <col min="495" max="495" width="4.5546875" style="10" customWidth="1"/>
    <col min="496" max="496" width="4.44140625" style="10" customWidth="1"/>
    <col min="497" max="497" width="4" style="10" customWidth="1"/>
    <col min="498" max="498" width="2.44140625" style="10" customWidth="1"/>
    <col min="499" max="499" width="46.109375" style="10" customWidth="1"/>
    <col min="500" max="501" width="12.5546875" style="10" customWidth="1"/>
    <col min="502" max="502" width="11.109375" style="10" customWidth="1"/>
    <col min="503" max="503" width="12.109375" style="10" customWidth="1"/>
    <col min="504" max="504" width="2.88671875" style="10" customWidth="1"/>
    <col min="505" max="505" width="12.5546875" style="10" customWidth="1"/>
    <col min="506" max="506" width="12.44140625" style="10" customWidth="1"/>
    <col min="507" max="507" width="11.109375" style="10" customWidth="1"/>
    <col min="508" max="508" width="12.88671875" style="10" customWidth="1"/>
    <col min="509" max="509" width="12.44140625" style="10" customWidth="1"/>
    <col min="510" max="749" width="12.44140625" style="10"/>
    <col min="750" max="750" width="4.6640625" style="10" customWidth="1"/>
    <col min="751" max="751" width="4.5546875" style="10" customWidth="1"/>
    <col min="752" max="752" width="4.44140625" style="10" customWidth="1"/>
    <col min="753" max="753" width="4" style="10" customWidth="1"/>
    <col min="754" max="754" width="2.44140625" style="10" customWidth="1"/>
    <col min="755" max="755" width="46.109375" style="10" customWidth="1"/>
    <col min="756" max="757" width="12.5546875" style="10" customWidth="1"/>
    <col min="758" max="758" width="11.109375" style="10" customWidth="1"/>
    <col min="759" max="759" width="12.109375" style="10" customWidth="1"/>
    <col min="760" max="760" width="2.88671875" style="10" customWidth="1"/>
    <col min="761" max="761" width="12.5546875" style="10" customWidth="1"/>
    <col min="762" max="762" width="12.44140625" style="10" customWidth="1"/>
    <col min="763" max="763" width="11.109375" style="10" customWidth="1"/>
    <col min="764" max="764" width="12.88671875" style="10" customWidth="1"/>
    <col min="765" max="765" width="12.44140625" style="10" customWidth="1"/>
    <col min="766" max="1005" width="12.44140625" style="10"/>
    <col min="1006" max="1006" width="4.6640625" style="10" customWidth="1"/>
    <col min="1007" max="1007" width="4.5546875" style="10" customWidth="1"/>
    <col min="1008" max="1008" width="4.44140625" style="10" customWidth="1"/>
    <col min="1009" max="1009" width="4" style="10" customWidth="1"/>
    <col min="1010" max="1010" width="2.44140625" style="10" customWidth="1"/>
    <col min="1011" max="1011" width="46.109375" style="10" customWidth="1"/>
    <col min="1012" max="1013" width="12.5546875" style="10" customWidth="1"/>
    <col min="1014" max="1014" width="11.109375" style="10" customWidth="1"/>
    <col min="1015" max="1015" width="12.109375" style="10" customWidth="1"/>
    <col min="1016" max="1016" width="2.88671875" style="10" customWidth="1"/>
    <col min="1017" max="1017" width="12.5546875" style="10" customWidth="1"/>
    <col min="1018" max="1018" width="12.44140625" style="10" customWidth="1"/>
    <col min="1019" max="1019" width="11.109375" style="10" customWidth="1"/>
    <col min="1020" max="1020" width="12.88671875" style="10" customWidth="1"/>
    <col min="1021" max="1021" width="12.44140625" style="10" customWidth="1"/>
    <col min="1022" max="1261" width="12.44140625" style="10"/>
    <col min="1262" max="1262" width="4.6640625" style="10" customWidth="1"/>
    <col min="1263" max="1263" width="4.5546875" style="10" customWidth="1"/>
    <col min="1264" max="1264" width="4.44140625" style="10" customWidth="1"/>
    <col min="1265" max="1265" width="4" style="10" customWidth="1"/>
    <col min="1266" max="1266" width="2.44140625" style="10" customWidth="1"/>
    <col min="1267" max="1267" width="46.109375" style="10" customWidth="1"/>
    <col min="1268" max="1269" width="12.5546875" style="10" customWidth="1"/>
    <col min="1270" max="1270" width="11.109375" style="10" customWidth="1"/>
    <col min="1271" max="1271" width="12.109375" style="10" customWidth="1"/>
    <col min="1272" max="1272" width="2.88671875" style="10" customWidth="1"/>
    <col min="1273" max="1273" width="12.5546875" style="10" customWidth="1"/>
    <col min="1274" max="1274" width="12.44140625" style="10" customWidth="1"/>
    <col min="1275" max="1275" width="11.109375" style="10" customWidth="1"/>
    <col min="1276" max="1276" width="12.88671875" style="10" customWidth="1"/>
    <col min="1277" max="1277" width="12.44140625" style="10" customWidth="1"/>
    <col min="1278" max="1517" width="12.44140625" style="10"/>
    <col min="1518" max="1518" width="4.6640625" style="10" customWidth="1"/>
    <col min="1519" max="1519" width="4.5546875" style="10" customWidth="1"/>
    <col min="1520" max="1520" width="4.44140625" style="10" customWidth="1"/>
    <col min="1521" max="1521" width="4" style="10" customWidth="1"/>
    <col min="1522" max="1522" width="2.44140625" style="10" customWidth="1"/>
    <col min="1523" max="1523" width="46.109375" style="10" customWidth="1"/>
    <col min="1524" max="1525" width="12.5546875" style="10" customWidth="1"/>
    <col min="1526" max="1526" width="11.109375" style="10" customWidth="1"/>
    <col min="1527" max="1527" width="12.109375" style="10" customWidth="1"/>
    <col min="1528" max="1528" width="2.88671875" style="10" customWidth="1"/>
    <col min="1529" max="1529" width="12.5546875" style="10" customWidth="1"/>
    <col min="1530" max="1530" width="12.44140625" style="10" customWidth="1"/>
    <col min="1531" max="1531" width="11.109375" style="10" customWidth="1"/>
    <col min="1532" max="1532" width="12.88671875" style="10" customWidth="1"/>
    <col min="1533" max="1533" width="12.44140625" style="10" customWidth="1"/>
    <col min="1534" max="1773" width="12.44140625" style="10"/>
    <col min="1774" max="1774" width="4.6640625" style="10" customWidth="1"/>
    <col min="1775" max="1775" width="4.5546875" style="10" customWidth="1"/>
    <col min="1776" max="1776" width="4.44140625" style="10" customWidth="1"/>
    <col min="1777" max="1777" width="4" style="10" customWidth="1"/>
    <col min="1778" max="1778" width="2.44140625" style="10" customWidth="1"/>
    <col min="1779" max="1779" width="46.109375" style="10" customWidth="1"/>
    <col min="1780" max="1781" width="12.5546875" style="10" customWidth="1"/>
    <col min="1782" max="1782" width="11.109375" style="10" customWidth="1"/>
    <col min="1783" max="1783" width="12.109375" style="10" customWidth="1"/>
    <col min="1784" max="1784" width="2.88671875" style="10" customWidth="1"/>
    <col min="1785" max="1785" width="12.5546875" style="10" customWidth="1"/>
    <col min="1786" max="1786" width="12.44140625" style="10" customWidth="1"/>
    <col min="1787" max="1787" width="11.109375" style="10" customWidth="1"/>
    <col min="1788" max="1788" width="12.88671875" style="10" customWidth="1"/>
    <col min="1789" max="1789" width="12.44140625" style="10" customWidth="1"/>
    <col min="1790" max="2029" width="12.44140625" style="10"/>
    <col min="2030" max="2030" width="4.6640625" style="10" customWidth="1"/>
    <col min="2031" max="2031" width="4.5546875" style="10" customWidth="1"/>
    <col min="2032" max="2032" width="4.44140625" style="10" customWidth="1"/>
    <col min="2033" max="2033" width="4" style="10" customWidth="1"/>
    <col min="2034" max="2034" width="2.44140625" style="10" customWidth="1"/>
    <col min="2035" max="2035" width="46.109375" style="10" customWidth="1"/>
    <col min="2036" max="2037" width="12.5546875" style="10" customWidth="1"/>
    <col min="2038" max="2038" width="11.109375" style="10" customWidth="1"/>
    <col min="2039" max="2039" width="12.109375" style="10" customWidth="1"/>
    <col min="2040" max="2040" width="2.88671875" style="10" customWidth="1"/>
    <col min="2041" max="2041" width="12.5546875" style="10" customWidth="1"/>
    <col min="2042" max="2042" width="12.44140625" style="10" customWidth="1"/>
    <col min="2043" max="2043" width="11.109375" style="10" customWidth="1"/>
    <col min="2044" max="2044" width="12.88671875" style="10" customWidth="1"/>
    <col min="2045" max="2045" width="12.44140625" style="10" customWidth="1"/>
    <col min="2046" max="2285" width="12.44140625" style="10"/>
    <col min="2286" max="2286" width="4.6640625" style="10" customWidth="1"/>
    <col min="2287" max="2287" width="4.5546875" style="10" customWidth="1"/>
    <col min="2288" max="2288" width="4.44140625" style="10" customWidth="1"/>
    <col min="2289" max="2289" width="4" style="10" customWidth="1"/>
    <col min="2290" max="2290" width="2.44140625" style="10" customWidth="1"/>
    <col min="2291" max="2291" width="46.109375" style="10" customWidth="1"/>
    <col min="2292" max="2293" width="12.5546875" style="10" customWidth="1"/>
    <col min="2294" max="2294" width="11.109375" style="10" customWidth="1"/>
    <col min="2295" max="2295" width="12.109375" style="10" customWidth="1"/>
    <col min="2296" max="2296" width="2.88671875" style="10" customWidth="1"/>
    <col min="2297" max="2297" width="12.5546875" style="10" customWidth="1"/>
    <col min="2298" max="2298" width="12.44140625" style="10" customWidth="1"/>
    <col min="2299" max="2299" width="11.109375" style="10" customWidth="1"/>
    <col min="2300" max="2300" width="12.88671875" style="10" customWidth="1"/>
    <col min="2301" max="2301" width="12.44140625" style="10" customWidth="1"/>
    <col min="2302" max="2541" width="12.44140625" style="10"/>
    <col min="2542" max="2542" width="4.6640625" style="10" customWidth="1"/>
    <col min="2543" max="2543" width="4.5546875" style="10" customWidth="1"/>
    <col min="2544" max="2544" width="4.44140625" style="10" customWidth="1"/>
    <col min="2545" max="2545" width="4" style="10" customWidth="1"/>
    <col min="2546" max="2546" width="2.44140625" style="10" customWidth="1"/>
    <col min="2547" max="2547" width="46.109375" style="10" customWidth="1"/>
    <col min="2548" max="2549" width="12.5546875" style="10" customWidth="1"/>
    <col min="2550" max="2550" width="11.109375" style="10" customWidth="1"/>
    <col min="2551" max="2551" width="12.109375" style="10" customWidth="1"/>
    <col min="2552" max="2552" width="2.88671875" style="10" customWidth="1"/>
    <col min="2553" max="2553" width="12.5546875" style="10" customWidth="1"/>
    <col min="2554" max="2554" width="12.44140625" style="10" customWidth="1"/>
    <col min="2555" max="2555" width="11.109375" style="10" customWidth="1"/>
    <col min="2556" max="2556" width="12.88671875" style="10" customWidth="1"/>
    <col min="2557" max="2557" width="12.44140625" style="10" customWidth="1"/>
    <col min="2558" max="2797" width="12.44140625" style="10"/>
    <col min="2798" max="2798" width="4.6640625" style="10" customWidth="1"/>
    <col min="2799" max="2799" width="4.5546875" style="10" customWidth="1"/>
    <col min="2800" max="2800" width="4.44140625" style="10" customWidth="1"/>
    <col min="2801" max="2801" width="4" style="10" customWidth="1"/>
    <col min="2802" max="2802" width="2.44140625" style="10" customWidth="1"/>
    <col min="2803" max="2803" width="46.109375" style="10" customWidth="1"/>
    <col min="2804" max="2805" width="12.5546875" style="10" customWidth="1"/>
    <col min="2806" max="2806" width="11.109375" style="10" customWidth="1"/>
    <col min="2807" max="2807" width="12.109375" style="10" customWidth="1"/>
    <col min="2808" max="2808" width="2.88671875" style="10" customWidth="1"/>
    <col min="2809" max="2809" width="12.5546875" style="10" customWidth="1"/>
    <col min="2810" max="2810" width="12.44140625" style="10" customWidth="1"/>
    <col min="2811" max="2811" width="11.109375" style="10" customWidth="1"/>
    <col min="2812" max="2812" width="12.88671875" style="10" customWidth="1"/>
    <col min="2813" max="2813" width="12.44140625" style="10" customWidth="1"/>
    <col min="2814" max="3053" width="12.44140625" style="10"/>
    <col min="3054" max="3054" width="4.6640625" style="10" customWidth="1"/>
    <col min="3055" max="3055" width="4.5546875" style="10" customWidth="1"/>
    <col min="3056" max="3056" width="4.44140625" style="10" customWidth="1"/>
    <col min="3057" max="3057" width="4" style="10" customWidth="1"/>
    <col min="3058" max="3058" width="2.44140625" style="10" customWidth="1"/>
    <col min="3059" max="3059" width="46.109375" style="10" customWidth="1"/>
    <col min="3060" max="3061" width="12.5546875" style="10" customWidth="1"/>
    <col min="3062" max="3062" width="11.109375" style="10" customWidth="1"/>
    <col min="3063" max="3063" width="12.109375" style="10" customWidth="1"/>
    <col min="3064" max="3064" width="2.88671875" style="10" customWidth="1"/>
    <col min="3065" max="3065" width="12.5546875" style="10" customWidth="1"/>
    <col min="3066" max="3066" width="12.44140625" style="10" customWidth="1"/>
    <col min="3067" max="3067" width="11.109375" style="10" customWidth="1"/>
    <col min="3068" max="3068" width="12.88671875" style="10" customWidth="1"/>
    <col min="3069" max="3069" width="12.44140625" style="10" customWidth="1"/>
    <col min="3070" max="3309" width="12.44140625" style="10"/>
    <col min="3310" max="3310" width="4.6640625" style="10" customWidth="1"/>
    <col min="3311" max="3311" width="4.5546875" style="10" customWidth="1"/>
    <col min="3312" max="3312" width="4.44140625" style="10" customWidth="1"/>
    <col min="3313" max="3313" width="4" style="10" customWidth="1"/>
    <col min="3314" max="3314" width="2.44140625" style="10" customWidth="1"/>
    <col min="3315" max="3315" width="46.109375" style="10" customWidth="1"/>
    <col min="3316" max="3317" width="12.5546875" style="10" customWidth="1"/>
    <col min="3318" max="3318" width="11.109375" style="10" customWidth="1"/>
    <col min="3319" max="3319" width="12.109375" style="10" customWidth="1"/>
    <col min="3320" max="3320" width="2.88671875" style="10" customWidth="1"/>
    <col min="3321" max="3321" width="12.5546875" style="10" customWidth="1"/>
    <col min="3322" max="3322" width="12.44140625" style="10" customWidth="1"/>
    <col min="3323" max="3323" width="11.109375" style="10" customWidth="1"/>
    <col min="3324" max="3324" width="12.88671875" style="10" customWidth="1"/>
    <col min="3325" max="3325" width="12.44140625" style="10" customWidth="1"/>
    <col min="3326" max="3565" width="12.44140625" style="10"/>
    <col min="3566" max="3566" width="4.6640625" style="10" customWidth="1"/>
    <col min="3567" max="3567" width="4.5546875" style="10" customWidth="1"/>
    <col min="3568" max="3568" width="4.44140625" style="10" customWidth="1"/>
    <col min="3569" max="3569" width="4" style="10" customWidth="1"/>
    <col min="3570" max="3570" width="2.44140625" style="10" customWidth="1"/>
    <col min="3571" max="3571" width="46.109375" style="10" customWidth="1"/>
    <col min="3572" max="3573" width="12.5546875" style="10" customWidth="1"/>
    <col min="3574" max="3574" width="11.109375" style="10" customWidth="1"/>
    <col min="3575" max="3575" width="12.109375" style="10" customWidth="1"/>
    <col min="3576" max="3576" width="2.88671875" style="10" customWidth="1"/>
    <col min="3577" max="3577" width="12.5546875" style="10" customWidth="1"/>
    <col min="3578" max="3578" width="12.44140625" style="10" customWidth="1"/>
    <col min="3579" max="3579" width="11.109375" style="10" customWidth="1"/>
    <col min="3580" max="3580" width="12.88671875" style="10" customWidth="1"/>
    <col min="3581" max="3581" width="12.44140625" style="10" customWidth="1"/>
    <col min="3582" max="3821" width="12.44140625" style="10"/>
    <col min="3822" max="3822" width="4.6640625" style="10" customWidth="1"/>
    <col min="3823" max="3823" width="4.5546875" style="10" customWidth="1"/>
    <col min="3824" max="3824" width="4.44140625" style="10" customWidth="1"/>
    <col min="3825" max="3825" width="4" style="10" customWidth="1"/>
    <col min="3826" max="3826" width="2.44140625" style="10" customWidth="1"/>
    <col min="3827" max="3827" width="46.109375" style="10" customWidth="1"/>
    <col min="3828" max="3829" width="12.5546875" style="10" customWidth="1"/>
    <col min="3830" max="3830" width="11.109375" style="10" customWidth="1"/>
    <col min="3831" max="3831" width="12.109375" style="10" customWidth="1"/>
    <col min="3832" max="3832" width="2.88671875" style="10" customWidth="1"/>
    <col min="3833" max="3833" width="12.5546875" style="10" customWidth="1"/>
    <col min="3834" max="3834" width="12.44140625" style="10" customWidth="1"/>
    <col min="3835" max="3835" width="11.109375" style="10" customWidth="1"/>
    <col min="3836" max="3836" width="12.88671875" style="10" customWidth="1"/>
    <col min="3837" max="3837" width="12.44140625" style="10" customWidth="1"/>
    <col min="3838" max="4077" width="12.44140625" style="10"/>
    <col min="4078" max="4078" width="4.6640625" style="10" customWidth="1"/>
    <col min="4079" max="4079" width="4.5546875" style="10" customWidth="1"/>
    <col min="4080" max="4080" width="4.44140625" style="10" customWidth="1"/>
    <col min="4081" max="4081" width="4" style="10" customWidth="1"/>
    <col min="4082" max="4082" width="2.44140625" style="10" customWidth="1"/>
    <col min="4083" max="4083" width="46.109375" style="10" customWidth="1"/>
    <col min="4084" max="4085" width="12.5546875" style="10" customWidth="1"/>
    <col min="4086" max="4086" width="11.109375" style="10" customWidth="1"/>
    <col min="4087" max="4087" width="12.109375" style="10" customWidth="1"/>
    <col min="4088" max="4088" width="2.88671875" style="10" customWidth="1"/>
    <col min="4089" max="4089" width="12.5546875" style="10" customWidth="1"/>
    <col min="4090" max="4090" width="12.44140625" style="10" customWidth="1"/>
    <col min="4091" max="4091" width="11.109375" style="10" customWidth="1"/>
    <col min="4092" max="4092" width="12.88671875" style="10" customWidth="1"/>
    <col min="4093" max="4093" width="12.44140625" style="10" customWidth="1"/>
    <col min="4094" max="4333" width="12.44140625" style="10"/>
    <col min="4334" max="4334" width="4.6640625" style="10" customWidth="1"/>
    <col min="4335" max="4335" width="4.5546875" style="10" customWidth="1"/>
    <col min="4336" max="4336" width="4.44140625" style="10" customWidth="1"/>
    <col min="4337" max="4337" width="4" style="10" customWidth="1"/>
    <col min="4338" max="4338" width="2.44140625" style="10" customWidth="1"/>
    <col min="4339" max="4339" width="46.109375" style="10" customWidth="1"/>
    <col min="4340" max="4341" width="12.5546875" style="10" customWidth="1"/>
    <col min="4342" max="4342" width="11.109375" style="10" customWidth="1"/>
    <col min="4343" max="4343" width="12.109375" style="10" customWidth="1"/>
    <col min="4344" max="4344" width="2.88671875" style="10" customWidth="1"/>
    <col min="4345" max="4345" width="12.5546875" style="10" customWidth="1"/>
    <col min="4346" max="4346" width="12.44140625" style="10" customWidth="1"/>
    <col min="4347" max="4347" width="11.109375" style="10" customWidth="1"/>
    <col min="4348" max="4348" width="12.88671875" style="10" customWidth="1"/>
    <col min="4349" max="4349" width="12.44140625" style="10" customWidth="1"/>
    <col min="4350" max="4589" width="12.44140625" style="10"/>
    <col min="4590" max="4590" width="4.6640625" style="10" customWidth="1"/>
    <col min="4591" max="4591" width="4.5546875" style="10" customWidth="1"/>
    <col min="4592" max="4592" width="4.44140625" style="10" customWidth="1"/>
    <col min="4593" max="4593" width="4" style="10" customWidth="1"/>
    <col min="4594" max="4594" width="2.44140625" style="10" customWidth="1"/>
    <col min="4595" max="4595" width="46.109375" style="10" customWidth="1"/>
    <col min="4596" max="4597" width="12.5546875" style="10" customWidth="1"/>
    <col min="4598" max="4598" width="11.109375" style="10" customWidth="1"/>
    <col min="4599" max="4599" width="12.109375" style="10" customWidth="1"/>
    <col min="4600" max="4600" width="2.88671875" style="10" customWidth="1"/>
    <col min="4601" max="4601" width="12.5546875" style="10" customWidth="1"/>
    <col min="4602" max="4602" width="12.44140625" style="10" customWidth="1"/>
    <col min="4603" max="4603" width="11.109375" style="10" customWidth="1"/>
    <col min="4604" max="4604" width="12.88671875" style="10" customWidth="1"/>
    <col min="4605" max="4605" width="12.44140625" style="10" customWidth="1"/>
    <col min="4606" max="4845" width="12.44140625" style="10"/>
    <col min="4846" max="4846" width="4.6640625" style="10" customWidth="1"/>
    <col min="4847" max="4847" width="4.5546875" style="10" customWidth="1"/>
    <col min="4848" max="4848" width="4.44140625" style="10" customWidth="1"/>
    <col min="4849" max="4849" width="4" style="10" customWidth="1"/>
    <col min="4850" max="4850" width="2.44140625" style="10" customWidth="1"/>
    <col min="4851" max="4851" width="46.109375" style="10" customWidth="1"/>
    <col min="4852" max="4853" width="12.5546875" style="10" customWidth="1"/>
    <col min="4854" max="4854" width="11.109375" style="10" customWidth="1"/>
    <col min="4855" max="4855" width="12.109375" style="10" customWidth="1"/>
    <col min="4856" max="4856" width="2.88671875" style="10" customWidth="1"/>
    <col min="4857" max="4857" width="12.5546875" style="10" customWidth="1"/>
    <col min="4858" max="4858" width="12.44140625" style="10" customWidth="1"/>
    <col min="4859" max="4859" width="11.109375" style="10" customWidth="1"/>
    <col min="4860" max="4860" width="12.88671875" style="10" customWidth="1"/>
    <col min="4861" max="4861" width="12.44140625" style="10" customWidth="1"/>
    <col min="4862" max="5101" width="12.44140625" style="10"/>
    <col min="5102" max="5102" width="4.6640625" style="10" customWidth="1"/>
    <col min="5103" max="5103" width="4.5546875" style="10" customWidth="1"/>
    <col min="5104" max="5104" width="4.44140625" style="10" customWidth="1"/>
    <col min="5105" max="5105" width="4" style="10" customWidth="1"/>
    <col min="5106" max="5106" width="2.44140625" style="10" customWidth="1"/>
    <col min="5107" max="5107" width="46.109375" style="10" customWidth="1"/>
    <col min="5108" max="5109" width="12.5546875" style="10" customWidth="1"/>
    <col min="5110" max="5110" width="11.109375" style="10" customWidth="1"/>
    <col min="5111" max="5111" width="12.109375" style="10" customWidth="1"/>
    <col min="5112" max="5112" width="2.88671875" style="10" customWidth="1"/>
    <col min="5113" max="5113" width="12.5546875" style="10" customWidth="1"/>
    <col min="5114" max="5114" width="12.44140625" style="10" customWidth="1"/>
    <col min="5115" max="5115" width="11.109375" style="10" customWidth="1"/>
    <col min="5116" max="5116" width="12.88671875" style="10" customWidth="1"/>
    <col min="5117" max="5117" width="12.44140625" style="10" customWidth="1"/>
    <col min="5118" max="5357" width="12.44140625" style="10"/>
    <col min="5358" max="5358" width="4.6640625" style="10" customWidth="1"/>
    <col min="5359" max="5359" width="4.5546875" style="10" customWidth="1"/>
    <col min="5360" max="5360" width="4.44140625" style="10" customWidth="1"/>
    <col min="5361" max="5361" width="4" style="10" customWidth="1"/>
    <col min="5362" max="5362" width="2.44140625" style="10" customWidth="1"/>
    <col min="5363" max="5363" width="46.109375" style="10" customWidth="1"/>
    <col min="5364" max="5365" width="12.5546875" style="10" customWidth="1"/>
    <col min="5366" max="5366" width="11.109375" style="10" customWidth="1"/>
    <col min="5367" max="5367" width="12.109375" style="10" customWidth="1"/>
    <col min="5368" max="5368" width="2.88671875" style="10" customWidth="1"/>
    <col min="5369" max="5369" width="12.5546875" style="10" customWidth="1"/>
    <col min="5370" max="5370" width="12.44140625" style="10" customWidth="1"/>
    <col min="5371" max="5371" width="11.109375" style="10" customWidth="1"/>
    <col min="5372" max="5372" width="12.88671875" style="10" customWidth="1"/>
    <col min="5373" max="5373" width="12.44140625" style="10" customWidth="1"/>
    <col min="5374" max="5613" width="12.44140625" style="10"/>
    <col min="5614" max="5614" width="4.6640625" style="10" customWidth="1"/>
    <col min="5615" max="5615" width="4.5546875" style="10" customWidth="1"/>
    <col min="5616" max="5616" width="4.44140625" style="10" customWidth="1"/>
    <col min="5617" max="5617" width="4" style="10" customWidth="1"/>
    <col min="5618" max="5618" width="2.44140625" style="10" customWidth="1"/>
    <col min="5619" max="5619" width="46.109375" style="10" customWidth="1"/>
    <col min="5620" max="5621" width="12.5546875" style="10" customWidth="1"/>
    <col min="5622" max="5622" width="11.109375" style="10" customWidth="1"/>
    <col min="5623" max="5623" width="12.109375" style="10" customWidth="1"/>
    <col min="5624" max="5624" width="2.88671875" style="10" customWidth="1"/>
    <col min="5625" max="5625" width="12.5546875" style="10" customWidth="1"/>
    <col min="5626" max="5626" width="12.44140625" style="10" customWidth="1"/>
    <col min="5627" max="5627" width="11.109375" style="10" customWidth="1"/>
    <col min="5628" max="5628" width="12.88671875" style="10" customWidth="1"/>
    <col min="5629" max="5629" width="12.44140625" style="10" customWidth="1"/>
    <col min="5630" max="5869" width="12.44140625" style="10"/>
    <col min="5870" max="5870" width="4.6640625" style="10" customWidth="1"/>
    <col min="5871" max="5871" width="4.5546875" style="10" customWidth="1"/>
    <col min="5872" max="5872" width="4.44140625" style="10" customWidth="1"/>
    <col min="5873" max="5873" width="4" style="10" customWidth="1"/>
    <col min="5874" max="5874" width="2.44140625" style="10" customWidth="1"/>
    <col min="5875" max="5875" width="46.109375" style="10" customWidth="1"/>
    <col min="5876" max="5877" width="12.5546875" style="10" customWidth="1"/>
    <col min="5878" max="5878" width="11.109375" style="10" customWidth="1"/>
    <col min="5879" max="5879" width="12.109375" style="10" customWidth="1"/>
    <col min="5880" max="5880" width="2.88671875" style="10" customWidth="1"/>
    <col min="5881" max="5881" width="12.5546875" style="10" customWidth="1"/>
    <col min="5882" max="5882" width="12.44140625" style="10" customWidth="1"/>
    <col min="5883" max="5883" width="11.109375" style="10" customWidth="1"/>
    <col min="5884" max="5884" width="12.88671875" style="10" customWidth="1"/>
    <col min="5885" max="5885" width="12.44140625" style="10" customWidth="1"/>
    <col min="5886" max="6125" width="12.44140625" style="10"/>
    <col min="6126" max="6126" width="4.6640625" style="10" customWidth="1"/>
    <col min="6127" max="6127" width="4.5546875" style="10" customWidth="1"/>
    <col min="6128" max="6128" width="4.44140625" style="10" customWidth="1"/>
    <col min="6129" max="6129" width="4" style="10" customWidth="1"/>
    <col min="6130" max="6130" width="2.44140625" style="10" customWidth="1"/>
    <col min="6131" max="6131" width="46.109375" style="10" customWidth="1"/>
    <col min="6132" max="6133" width="12.5546875" style="10" customWidth="1"/>
    <col min="6134" max="6134" width="11.109375" style="10" customWidth="1"/>
    <col min="6135" max="6135" width="12.109375" style="10" customWidth="1"/>
    <col min="6136" max="6136" width="2.88671875" style="10" customWidth="1"/>
    <col min="6137" max="6137" width="12.5546875" style="10" customWidth="1"/>
    <col min="6138" max="6138" width="12.44140625" style="10" customWidth="1"/>
    <col min="6139" max="6139" width="11.109375" style="10" customWidth="1"/>
    <col min="6140" max="6140" width="12.88671875" style="10" customWidth="1"/>
    <col min="6141" max="6141" width="12.44140625" style="10" customWidth="1"/>
    <col min="6142" max="6381" width="12.44140625" style="10"/>
    <col min="6382" max="6382" width="4.6640625" style="10" customWidth="1"/>
    <col min="6383" max="6383" width="4.5546875" style="10" customWidth="1"/>
    <col min="6384" max="6384" width="4.44140625" style="10" customWidth="1"/>
    <col min="6385" max="6385" width="4" style="10" customWidth="1"/>
    <col min="6386" max="6386" width="2.44140625" style="10" customWidth="1"/>
    <col min="6387" max="6387" width="46.109375" style="10" customWidth="1"/>
    <col min="6388" max="6389" width="12.5546875" style="10" customWidth="1"/>
    <col min="6390" max="6390" width="11.109375" style="10" customWidth="1"/>
    <col min="6391" max="6391" width="12.109375" style="10" customWidth="1"/>
    <col min="6392" max="6392" width="2.88671875" style="10" customWidth="1"/>
    <col min="6393" max="6393" width="12.5546875" style="10" customWidth="1"/>
    <col min="6394" max="6394" width="12.44140625" style="10" customWidth="1"/>
    <col min="6395" max="6395" width="11.109375" style="10" customWidth="1"/>
    <col min="6396" max="6396" width="12.88671875" style="10" customWidth="1"/>
    <col min="6397" max="6397" width="12.44140625" style="10" customWidth="1"/>
    <col min="6398" max="6637" width="12.44140625" style="10"/>
    <col min="6638" max="6638" width="4.6640625" style="10" customWidth="1"/>
    <col min="6639" max="6639" width="4.5546875" style="10" customWidth="1"/>
    <col min="6640" max="6640" width="4.44140625" style="10" customWidth="1"/>
    <col min="6641" max="6641" width="4" style="10" customWidth="1"/>
    <col min="6642" max="6642" width="2.44140625" style="10" customWidth="1"/>
    <col min="6643" max="6643" width="46.109375" style="10" customWidth="1"/>
    <col min="6644" max="6645" width="12.5546875" style="10" customWidth="1"/>
    <col min="6646" max="6646" width="11.109375" style="10" customWidth="1"/>
    <col min="6647" max="6647" width="12.109375" style="10" customWidth="1"/>
    <col min="6648" max="6648" width="2.88671875" style="10" customWidth="1"/>
    <col min="6649" max="6649" width="12.5546875" style="10" customWidth="1"/>
    <col min="6650" max="6650" width="12.44140625" style="10" customWidth="1"/>
    <col min="6651" max="6651" width="11.109375" style="10" customWidth="1"/>
    <col min="6652" max="6652" width="12.88671875" style="10" customWidth="1"/>
    <col min="6653" max="6653" width="12.44140625" style="10" customWidth="1"/>
    <col min="6654" max="6893" width="12.44140625" style="10"/>
    <col min="6894" max="6894" width="4.6640625" style="10" customWidth="1"/>
    <col min="6895" max="6895" width="4.5546875" style="10" customWidth="1"/>
    <col min="6896" max="6896" width="4.44140625" style="10" customWidth="1"/>
    <col min="6897" max="6897" width="4" style="10" customWidth="1"/>
    <col min="6898" max="6898" width="2.44140625" style="10" customWidth="1"/>
    <col min="6899" max="6899" width="46.109375" style="10" customWidth="1"/>
    <col min="6900" max="6901" width="12.5546875" style="10" customWidth="1"/>
    <col min="6902" max="6902" width="11.109375" style="10" customWidth="1"/>
    <col min="6903" max="6903" width="12.109375" style="10" customWidth="1"/>
    <col min="6904" max="6904" width="2.88671875" style="10" customWidth="1"/>
    <col min="6905" max="6905" width="12.5546875" style="10" customWidth="1"/>
    <col min="6906" max="6906" width="12.44140625" style="10" customWidth="1"/>
    <col min="6907" max="6907" width="11.109375" style="10" customWidth="1"/>
    <col min="6908" max="6908" width="12.88671875" style="10" customWidth="1"/>
    <col min="6909" max="6909" width="12.44140625" style="10" customWidth="1"/>
    <col min="6910" max="7149" width="12.44140625" style="10"/>
    <col min="7150" max="7150" width="4.6640625" style="10" customWidth="1"/>
    <col min="7151" max="7151" width="4.5546875" style="10" customWidth="1"/>
    <col min="7152" max="7152" width="4.44140625" style="10" customWidth="1"/>
    <col min="7153" max="7153" width="4" style="10" customWidth="1"/>
    <col min="7154" max="7154" width="2.44140625" style="10" customWidth="1"/>
    <col min="7155" max="7155" width="46.109375" style="10" customWidth="1"/>
    <col min="7156" max="7157" width="12.5546875" style="10" customWidth="1"/>
    <col min="7158" max="7158" width="11.109375" style="10" customWidth="1"/>
    <col min="7159" max="7159" width="12.109375" style="10" customWidth="1"/>
    <col min="7160" max="7160" width="2.88671875" style="10" customWidth="1"/>
    <col min="7161" max="7161" width="12.5546875" style="10" customWidth="1"/>
    <col min="7162" max="7162" width="12.44140625" style="10" customWidth="1"/>
    <col min="7163" max="7163" width="11.109375" style="10" customWidth="1"/>
    <col min="7164" max="7164" width="12.88671875" style="10" customWidth="1"/>
    <col min="7165" max="7165" width="12.44140625" style="10" customWidth="1"/>
    <col min="7166" max="7405" width="12.44140625" style="10"/>
    <col min="7406" max="7406" width="4.6640625" style="10" customWidth="1"/>
    <col min="7407" max="7407" width="4.5546875" style="10" customWidth="1"/>
    <col min="7408" max="7408" width="4.44140625" style="10" customWidth="1"/>
    <col min="7409" max="7409" width="4" style="10" customWidth="1"/>
    <col min="7410" max="7410" width="2.44140625" style="10" customWidth="1"/>
    <col min="7411" max="7411" width="46.109375" style="10" customWidth="1"/>
    <col min="7412" max="7413" width="12.5546875" style="10" customWidth="1"/>
    <col min="7414" max="7414" width="11.109375" style="10" customWidth="1"/>
    <col min="7415" max="7415" width="12.109375" style="10" customWidth="1"/>
    <col min="7416" max="7416" width="2.88671875" style="10" customWidth="1"/>
    <col min="7417" max="7417" width="12.5546875" style="10" customWidth="1"/>
    <col min="7418" max="7418" width="12.44140625" style="10" customWidth="1"/>
    <col min="7419" max="7419" width="11.109375" style="10" customWidth="1"/>
    <col min="7420" max="7420" width="12.88671875" style="10" customWidth="1"/>
    <col min="7421" max="7421" width="12.44140625" style="10" customWidth="1"/>
    <col min="7422" max="7661" width="12.44140625" style="10"/>
    <col min="7662" max="7662" width="4.6640625" style="10" customWidth="1"/>
    <col min="7663" max="7663" width="4.5546875" style="10" customWidth="1"/>
    <col min="7664" max="7664" width="4.44140625" style="10" customWidth="1"/>
    <col min="7665" max="7665" width="4" style="10" customWidth="1"/>
    <col min="7666" max="7666" width="2.44140625" style="10" customWidth="1"/>
    <col min="7667" max="7667" width="46.109375" style="10" customWidth="1"/>
    <col min="7668" max="7669" width="12.5546875" style="10" customWidth="1"/>
    <col min="7670" max="7670" width="11.109375" style="10" customWidth="1"/>
    <col min="7671" max="7671" width="12.109375" style="10" customWidth="1"/>
    <col min="7672" max="7672" width="2.88671875" style="10" customWidth="1"/>
    <col min="7673" max="7673" width="12.5546875" style="10" customWidth="1"/>
    <col min="7674" max="7674" width="12.44140625" style="10" customWidth="1"/>
    <col min="7675" max="7675" width="11.109375" style="10" customWidth="1"/>
    <col min="7676" max="7676" width="12.88671875" style="10" customWidth="1"/>
    <col min="7677" max="7677" width="12.44140625" style="10" customWidth="1"/>
    <col min="7678" max="7917" width="12.44140625" style="10"/>
    <col min="7918" max="7918" width="4.6640625" style="10" customWidth="1"/>
    <col min="7919" max="7919" width="4.5546875" style="10" customWidth="1"/>
    <col min="7920" max="7920" width="4.44140625" style="10" customWidth="1"/>
    <col min="7921" max="7921" width="4" style="10" customWidth="1"/>
    <col min="7922" max="7922" width="2.44140625" style="10" customWidth="1"/>
    <col min="7923" max="7923" width="46.109375" style="10" customWidth="1"/>
    <col min="7924" max="7925" width="12.5546875" style="10" customWidth="1"/>
    <col min="7926" max="7926" width="11.109375" style="10" customWidth="1"/>
    <col min="7927" max="7927" width="12.109375" style="10" customWidth="1"/>
    <col min="7928" max="7928" width="2.88671875" style="10" customWidth="1"/>
    <col min="7929" max="7929" width="12.5546875" style="10" customWidth="1"/>
    <col min="7930" max="7930" width="12.44140625" style="10" customWidth="1"/>
    <col min="7931" max="7931" width="11.109375" style="10" customWidth="1"/>
    <col min="7932" max="7932" width="12.88671875" style="10" customWidth="1"/>
    <col min="7933" max="7933" width="12.44140625" style="10" customWidth="1"/>
    <col min="7934" max="8173" width="12.44140625" style="10"/>
    <col min="8174" max="8174" width="4.6640625" style="10" customWidth="1"/>
    <col min="8175" max="8175" width="4.5546875" style="10" customWidth="1"/>
    <col min="8176" max="8176" width="4.44140625" style="10" customWidth="1"/>
    <col min="8177" max="8177" width="4" style="10" customWidth="1"/>
    <col min="8178" max="8178" width="2.44140625" style="10" customWidth="1"/>
    <col min="8179" max="8179" width="46.109375" style="10" customWidth="1"/>
    <col min="8180" max="8181" width="12.5546875" style="10" customWidth="1"/>
    <col min="8182" max="8182" width="11.109375" style="10" customWidth="1"/>
    <col min="8183" max="8183" width="12.109375" style="10" customWidth="1"/>
    <col min="8184" max="8184" width="2.88671875" style="10" customWidth="1"/>
    <col min="8185" max="8185" width="12.5546875" style="10" customWidth="1"/>
    <col min="8186" max="8186" width="12.44140625" style="10" customWidth="1"/>
    <col min="8187" max="8187" width="11.109375" style="10" customWidth="1"/>
    <col min="8188" max="8188" width="12.88671875" style="10" customWidth="1"/>
    <col min="8189" max="8189" width="12.44140625" style="10" customWidth="1"/>
    <col min="8190" max="8429" width="12.44140625" style="10"/>
    <col min="8430" max="8430" width="4.6640625" style="10" customWidth="1"/>
    <col min="8431" max="8431" width="4.5546875" style="10" customWidth="1"/>
    <col min="8432" max="8432" width="4.44140625" style="10" customWidth="1"/>
    <col min="8433" max="8433" width="4" style="10" customWidth="1"/>
    <col min="8434" max="8434" width="2.44140625" style="10" customWidth="1"/>
    <col min="8435" max="8435" width="46.109375" style="10" customWidth="1"/>
    <col min="8436" max="8437" width="12.5546875" style="10" customWidth="1"/>
    <col min="8438" max="8438" width="11.109375" style="10" customWidth="1"/>
    <col min="8439" max="8439" width="12.109375" style="10" customWidth="1"/>
    <col min="8440" max="8440" width="2.88671875" style="10" customWidth="1"/>
    <col min="8441" max="8441" width="12.5546875" style="10" customWidth="1"/>
    <col min="8442" max="8442" width="12.44140625" style="10" customWidth="1"/>
    <col min="8443" max="8443" width="11.109375" style="10" customWidth="1"/>
    <col min="8444" max="8444" width="12.88671875" style="10" customWidth="1"/>
    <col min="8445" max="8445" width="12.44140625" style="10" customWidth="1"/>
    <col min="8446" max="8685" width="12.44140625" style="10"/>
    <col min="8686" max="8686" width="4.6640625" style="10" customWidth="1"/>
    <col min="8687" max="8687" width="4.5546875" style="10" customWidth="1"/>
    <col min="8688" max="8688" width="4.44140625" style="10" customWidth="1"/>
    <col min="8689" max="8689" width="4" style="10" customWidth="1"/>
    <col min="8690" max="8690" width="2.44140625" style="10" customWidth="1"/>
    <col min="8691" max="8691" width="46.109375" style="10" customWidth="1"/>
    <col min="8692" max="8693" width="12.5546875" style="10" customWidth="1"/>
    <col min="8694" max="8694" width="11.109375" style="10" customWidth="1"/>
    <col min="8695" max="8695" width="12.109375" style="10" customWidth="1"/>
    <col min="8696" max="8696" width="2.88671875" style="10" customWidth="1"/>
    <col min="8697" max="8697" width="12.5546875" style="10" customWidth="1"/>
    <col min="8698" max="8698" width="12.44140625" style="10" customWidth="1"/>
    <col min="8699" max="8699" width="11.109375" style="10" customWidth="1"/>
    <col min="8700" max="8700" width="12.88671875" style="10" customWidth="1"/>
    <col min="8701" max="8701" width="12.44140625" style="10" customWidth="1"/>
    <col min="8702" max="8941" width="12.44140625" style="10"/>
    <col min="8942" max="8942" width="4.6640625" style="10" customWidth="1"/>
    <col min="8943" max="8943" width="4.5546875" style="10" customWidth="1"/>
    <col min="8944" max="8944" width="4.44140625" style="10" customWidth="1"/>
    <col min="8945" max="8945" width="4" style="10" customWidth="1"/>
    <col min="8946" max="8946" width="2.44140625" style="10" customWidth="1"/>
    <col min="8947" max="8947" width="46.109375" style="10" customWidth="1"/>
    <col min="8948" max="8949" width="12.5546875" style="10" customWidth="1"/>
    <col min="8950" max="8950" width="11.109375" style="10" customWidth="1"/>
    <col min="8951" max="8951" width="12.109375" style="10" customWidth="1"/>
    <col min="8952" max="8952" width="2.88671875" style="10" customWidth="1"/>
    <col min="8953" max="8953" width="12.5546875" style="10" customWidth="1"/>
    <col min="8954" max="8954" width="12.44140625" style="10" customWidth="1"/>
    <col min="8955" max="8955" width="11.109375" style="10" customWidth="1"/>
    <col min="8956" max="8956" width="12.88671875" style="10" customWidth="1"/>
    <col min="8957" max="8957" width="12.44140625" style="10" customWidth="1"/>
    <col min="8958" max="9197" width="12.44140625" style="10"/>
    <col min="9198" max="9198" width="4.6640625" style="10" customWidth="1"/>
    <col min="9199" max="9199" width="4.5546875" style="10" customWidth="1"/>
    <col min="9200" max="9200" width="4.44140625" style="10" customWidth="1"/>
    <col min="9201" max="9201" width="4" style="10" customWidth="1"/>
    <col min="9202" max="9202" width="2.44140625" style="10" customWidth="1"/>
    <col min="9203" max="9203" width="46.109375" style="10" customWidth="1"/>
    <col min="9204" max="9205" width="12.5546875" style="10" customWidth="1"/>
    <col min="9206" max="9206" width="11.109375" style="10" customWidth="1"/>
    <col min="9207" max="9207" width="12.109375" style="10" customWidth="1"/>
    <col min="9208" max="9208" width="2.88671875" style="10" customWidth="1"/>
    <col min="9209" max="9209" width="12.5546875" style="10" customWidth="1"/>
    <col min="9210" max="9210" width="12.44140625" style="10" customWidth="1"/>
    <col min="9211" max="9211" width="11.109375" style="10" customWidth="1"/>
    <col min="9212" max="9212" width="12.88671875" style="10" customWidth="1"/>
    <col min="9213" max="9213" width="12.44140625" style="10" customWidth="1"/>
    <col min="9214" max="9453" width="12.44140625" style="10"/>
    <col min="9454" max="9454" width="4.6640625" style="10" customWidth="1"/>
    <col min="9455" max="9455" width="4.5546875" style="10" customWidth="1"/>
    <col min="9456" max="9456" width="4.44140625" style="10" customWidth="1"/>
    <col min="9457" max="9457" width="4" style="10" customWidth="1"/>
    <col min="9458" max="9458" width="2.44140625" style="10" customWidth="1"/>
    <col min="9459" max="9459" width="46.109375" style="10" customWidth="1"/>
    <col min="9460" max="9461" width="12.5546875" style="10" customWidth="1"/>
    <col min="9462" max="9462" width="11.109375" style="10" customWidth="1"/>
    <col min="9463" max="9463" width="12.109375" style="10" customWidth="1"/>
    <col min="9464" max="9464" width="2.88671875" style="10" customWidth="1"/>
    <col min="9465" max="9465" width="12.5546875" style="10" customWidth="1"/>
    <col min="9466" max="9466" width="12.44140625" style="10" customWidth="1"/>
    <col min="9467" max="9467" width="11.109375" style="10" customWidth="1"/>
    <col min="9468" max="9468" width="12.88671875" style="10" customWidth="1"/>
    <col min="9469" max="9469" width="12.44140625" style="10" customWidth="1"/>
    <col min="9470" max="9709" width="12.44140625" style="10"/>
    <col min="9710" max="9710" width="4.6640625" style="10" customWidth="1"/>
    <col min="9711" max="9711" width="4.5546875" style="10" customWidth="1"/>
    <col min="9712" max="9712" width="4.44140625" style="10" customWidth="1"/>
    <col min="9713" max="9713" width="4" style="10" customWidth="1"/>
    <col min="9714" max="9714" width="2.44140625" style="10" customWidth="1"/>
    <col min="9715" max="9715" width="46.109375" style="10" customWidth="1"/>
    <col min="9716" max="9717" width="12.5546875" style="10" customWidth="1"/>
    <col min="9718" max="9718" width="11.109375" style="10" customWidth="1"/>
    <col min="9719" max="9719" width="12.109375" style="10" customWidth="1"/>
    <col min="9720" max="9720" width="2.88671875" style="10" customWidth="1"/>
    <col min="9721" max="9721" width="12.5546875" style="10" customWidth="1"/>
    <col min="9722" max="9722" width="12.44140625" style="10" customWidth="1"/>
    <col min="9723" max="9723" width="11.109375" style="10" customWidth="1"/>
    <col min="9724" max="9724" width="12.88671875" style="10" customWidth="1"/>
    <col min="9725" max="9725" width="12.44140625" style="10" customWidth="1"/>
    <col min="9726" max="9965" width="12.44140625" style="10"/>
    <col min="9966" max="9966" width="4.6640625" style="10" customWidth="1"/>
    <col min="9967" max="9967" width="4.5546875" style="10" customWidth="1"/>
    <col min="9968" max="9968" width="4.44140625" style="10" customWidth="1"/>
    <col min="9969" max="9969" width="4" style="10" customWidth="1"/>
    <col min="9970" max="9970" width="2.44140625" style="10" customWidth="1"/>
    <col min="9971" max="9971" width="46.109375" style="10" customWidth="1"/>
    <col min="9972" max="9973" width="12.5546875" style="10" customWidth="1"/>
    <col min="9974" max="9974" width="11.109375" style="10" customWidth="1"/>
    <col min="9975" max="9975" width="12.109375" style="10" customWidth="1"/>
    <col min="9976" max="9976" width="2.88671875" style="10" customWidth="1"/>
    <col min="9977" max="9977" width="12.5546875" style="10" customWidth="1"/>
    <col min="9978" max="9978" width="12.44140625" style="10" customWidth="1"/>
    <col min="9979" max="9979" width="11.109375" style="10" customWidth="1"/>
    <col min="9980" max="9980" width="12.88671875" style="10" customWidth="1"/>
    <col min="9981" max="9981" width="12.44140625" style="10" customWidth="1"/>
    <col min="9982" max="10221" width="12.44140625" style="10"/>
    <col min="10222" max="10222" width="4.6640625" style="10" customWidth="1"/>
    <col min="10223" max="10223" width="4.5546875" style="10" customWidth="1"/>
    <col min="10224" max="10224" width="4.44140625" style="10" customWidth="1"/>
    <col min="10225" max="10225" width="4" style="10" customWidth="1"/>
    <col min="10226" max="10226" width="2.44140625" style="10" customWidth="1"/>
    <col min="10227" max="10227" width="46.109375" style="10" customWidth="1"/>
    <col min="10228" max="10229" width="12.5546875" style="10" customWidth="1"/>
    <col min="10230" max="10230" width="11.109375" style="10" customWidth="1"/>
    <col min="10231" max="10231" width="12.109375" style="10" customWidth="1"/>
    <col min="10232" max="10232" width="2.88671875" style="10" customWidth="1"/>
    <col min="10233" max="10233" width="12.5546875" style="10" customWidth="1"/>
    <col min="10234" max="10234" width="12.44140625" style="10" customWidth="1"/>
    <col min="10235" max="10235" width="11.109375" style="10" customWidth="1"/>
    <col min="10236" max="10236" width="12.88671875" style="10" customWidth="1"/>
    <col min="10237" max="10237" width="12.44140625" style="10" customWidth="1"/>
    <col min="10238" max="10477" width="12.44140625" style="10"/>
    <col min="10478" max="10478" width="4.6640625" style="10" customWidth="1"/>
    <col min="10479" max="10479" width="4.5546875" style="10" customWidth="1"/>
    <col min="10480" max="10480" width="4.44140625" style="10" customWidth="1"/>
    <col min="10481" max="10481" width="4" style="10" customWidth="1"/>
    <col min="10482" max="10482" width="2.44140625" style="10" customWidth="1"/>
    <col min="10483" max="10483" width="46.109375" style="10" customWidth="1"/>
    <col min="10484" max="10485" width="12.5546875" style="10" customWidth="1"/>
    <col min="10486" max="10486" width="11.109375" style="10" customWidth="1"/>
    <col min="10487" max="10487" width="12.109375" style="10" customWidth="1"/>
    <col min="10488" max="10488" width="2.88671875" style="10" customWidth="1"/>
    <col min="10489" max="10489" width="12.5546875" style="10" customWidth="1"/>
    <col min="10490" max="10490" width="12.44140625" style="10" customWidth="1"/>
    <col min="10491" max="10491" width="11.109375" style="10" customWidth="1"/>
    <col min="10492" max="10492" width="12.88671875" style="10" customWidth="1"/>
    <col min="10493" max="10493" width="12.44140625" style="10" customWidth="1"/>
    <col min="10494" max="10733" width="12.44140625" style="10"/>
    <col min="10734" max="10734" width="4.6640625" style="10" customWidth="1"/>
    <col min="10735" max="10735" width="4.5546875" style="10" customWidth="1"/>
    <col min="10736" max="10736" width="4.44140625" style="10" customWidth="1"/>
    <col min="10737" max="10737" width="4" style="10" customWidth="1"/>
    <col min="10738" max="10738" width="2.44140625" style="10" customWidth="1"/>
    <col min="10739" max="10739" width="46.109375" style="10" customWidth="1"/>
    <col min="10740" max="10741" width="12.5546875" style="10" customWidth="1"/>
    <col min="10742" max="10742" width="11.109375" style="10" customWidth="1"/>
    <col min="10743" max="10743" width="12.109375" style="10" customWidth="1"/>
    <col min="10744" max="10744" width="2.88671875" style="10" customWidth="1"/>
    <col min="10745" max="10745" width="12.5546875" style="10" customWidth="1"/>
    <col min="10746" max="10746" width="12.44140625" style="10" customWidth="1"/>
    <col min="10747" max="10747" width="11.109375" style="10" customWidth="1"/>
    <col min="10748" max="10748" width="12.88671875" style="10" customWidth="1"/>
    <col min="10749" max="10749" width="12.44140625" style="10" customWidth="1"/>
    <col min="10750" max="10989" width="12.44140625" style="10"/>
    <col min="10990" max="10990" width="4.6640625" style="10" customWidth="1"/>
    <col min="10991" max="10991" width="4.5546875" style="10" customWidth="1"/>
    <col min="10992" max="10992" width="4.44140625" style="10" customWidth="1"/>
    <col min="10993" max="10993" width="4" style="10" customWidth="1"/>
    <col min="10994" max="10994" width="2.44140625" style="10" customWidth="1"/>
    <col min="10995" max="10995" width="46.109375" style="10" customWidth="1"/>
    <col min="10996" max="10997" width="12.5546875" style="10" customWidth="1"/>
    <col min="10998" max="10998" width="11.109375" style="10" customWidth="1"/>
    <col min="10999" max="10999" width="12.109375" style="10" customWidth="1"/>
    <col min="11000" max="11000" width="2.88671875" style="10" customWidth="1"/>
    <col min="11001" max="11001" width="12.5546875" style="10" customWidth="1"/>
    <col min="11002" max="11002" width="12.44140625" style="10" customWidth="1"/>
    <col min="11003" max="11003" width="11.109375" style="10" customWidth="1"/>
    <col min="11004" max="11004" width="12.88671875" style="10" customWidth="1"/>
    <col min="11005" max="11005" width="12.44140625" style="10" customWidth="1"/>
    <col min="11006" max="11245" width="12.44140625" style="10"/>
    <col min="11246" max="11246" width="4.6640625" style="10" customWidth="1"/>
    <col min="11247" max="11247" width="4.5546875" style="10" customWidth="1"/>
    <col min="11248" max="11248" width="4.44140625" style="10" customWidth="1"/>
    <col min="11249" max="11249" width="4" style="10" customWidth="1"/>
    <col min="11250" max="11250" width="2.44140625" style="10" customWidth="1"/>
    <col min="11251" max="11251" width="46.109375" style="10" customWidth="1"/>
    <col min="11252" max="11253" width="12.5546875" style="10" customWidth="1"/>
    <col min="11254" max="11254" width="11.109375" style="10" customWidth="1"/>
    <col min="11255" max="11255" width="12.109375" style="10" customWidth="1"/>
    <col min="11256" max="11256" width="2.88671875" style="10" customWidth="1"/>
    <col min="11257" max="11257" width="12.5546875" style="10" customWidth="1"/>
    <col min="11258" max="11258" width="12.44140625" style="10" customWidth="1"/>
    <col min="11259" max="11259" width="11.109375" style="10" customWidth="1"/>
    <col min="11260" max="11260" width="12.88671875" style="10" customWidth="1"/>
    <col min="11261" max="11261" width="12.44140625" style="10" customWidth="1"/>
    <col min="11262" max="11501" width="12.44140625" style="10"/>
    <col min="11502" max="11502" width="4.6640625" style="10" customWidth="1"/>
    <col min="11503" max="11503" width="4.5546875" style="10" customWidth="1"/>
    <col min="11504" max="11504" width="4.44140625" style="10" customWidth="1"/>
    <col min="11505" max="11505" width="4" style="10" customWidth="1"/>
    <col min="11506" max="11506" width="2.44140625" style="10" customWidth="1"/>
    <col min="11507" max="11507" width="46.109375" style="10" customWidth="1"/>
    <col min="11508" max="11509" width="12.5546875" style="10" customWidth="1"/>
    <col min="11510" max="11510" width="11.109375" style="10" customWidth="1"/>
    <col min="11511" max="11511" width="12.109375" style="10" customWidth="1"/>
    <col min="11512" max="11512" width="2.88671875" style="10" customWidth="1"/>
    <col min="11513" max="11513" width="12.5546875" style="10" customWidth="1"/>
    <col min="11514" max="11514" width="12.44140625" style="10" customWidth="1"/>
    <col min="11515" max="11515" width="11.109375" style="10" customWidth="1"/>
    <col min="11516" max="11516" width="12.88671875" style="10" customWidth="1"/>
    <col min="11517" max="11517" width="12.44140625" style="10" customWidth="1"/>
    <col min="11518" max="11757" width="12.44140625" style="10"/>
    <col min="11758" max="11758" width="4.6640625" style="10" customWidth="1"/>
    <col min="11759" max="11759" width="4.5546875" style="10" customWidth="1"/>
    <col min="11760" max="11760" width="4.44140625" style="10" customWidth="1"/>
    <col min="11761" max="11761" width="4" style="10" customWidth="1"/>
    <col min="11762" max="11762" width="2.44140625" style="10" customWidth="1"/>
    <col min="11763" max="11763" width="46.109375" style="10" customWidth="1"/>
    <col min="11764" max="11765" width="12.5546875" style="10" customWidth="1"/>
    <col min="11766" max="11766" width="11.109375" style="10" customWidth="1"/>
    <col min="11767" max="11767" width="12.109375" style="10" customWidth="1"/>
    <col min="11768" max="11768" width="2.88671875" style="10" customWidth="1"/>
    <col min="11769" max="11769" width="12.5546875" style="10" customWidth="1"/>
    <col min="11770" max="11770" width="12.44140625" style="10" customWidth="1"/>
    <col min="11771" max="11771" width="11.109375" style="10" customWidth="1"/>
    <col min="11772" max="11772" width="12.88671875" style="10" customWidth="1"/>
    <col min="11773" max="11773" width="12.44140625" style="10" customWidth="1"/>
    <col min="11774" max="12013" width="12.44140625" style="10"/>
    <col min="12014" max="12014" width="4.6640625" style="10" customWidth="1"/>
    <col min="12015" max="12015" width="4.5546875" style="10" customWidth="1"/>
    <col min="12016" max="12016" width="4.44140625" style="10" customWidth="1"/>
    <col min="12017" max="12017" width="4" style="10" customWidth="1"/>
    <col min="12018" max="12018" width="2.44140625" style="10" customWidth="1"/>
    <col min="12019" max="12019" width="46.109375" style="10" customWidth="1"/>
    <col min="12020" max="12021" width="12.5546875" style="10" customWidth="1"/>
    <col min="12022" max="12022" width="11.109375" style="10" customWidth="1"/>
    <col min="12023" max="12023" width="12.109375" style="10" customWidth="1"/>
    <col min="12024" max="12024" width="2.88671875" style="10" customWidth="1"/>
    <col min="12025" max="12025" width="12.5546875" style="10" customWidth="1"/>
    <col min="12026" max="12026" width="12.44140625" style="10" customWidth="1"/>
    <col min="12027" max="12027" width="11.109375" style="10" customWidth="1"/>
    <col min="12028" max="12028" width="12.88671875" style="10" customWidth="1"/>
    <col min="12029" max="12029" width="12.44140625" style="10" customWidth="1"/>
    <col min="12030" max="12269" width="12.44140625" style="10"/>
    <col min="12270" max="12270" width="4.6640625" style="10" customWidth="1"/>
    <col min="12271" max="12271" width="4.5546875" style="10" customWidth="1"/>
    <col min="12272" max="12272" width="4.44140625" style="10" customWidth="1"/>
    <col min="12273" max="12273" width="4" style="10" customWidth="1"/>
    <col min="12274" max="12274" width="2.44140625" style="10" customWidth="1"/>
    <col min="12275" max="12275" width="46.109375" style="10" customWidth="1"/>
    <col min="12276" max="12277" width="12.5546875" style="10" customWidth="1"/>
    <col min="12278" max="12278" width="11.109375" style="10" customWidth="1"/>
    <col min="12279" max="12279" width="12.109375" style="10" customWidth="1"/>
    <col min="12280" max="12280" width="2.88671875" style="10" customWidth="1"/>
    <col min="12281" max="12281" width="12.5546875" style="10" customWidth="1"/>
    <col min="12282" max="12282" width="12.44140625" style="10" customWidth="1"/>
    <col min="12283" max="12283" width="11.109375" style="10" customWidth="1"/>
    <col min="12284" max="12284" width="12.88671875" style="10" customWidth="1"/>
    <col min="12285" max="12285" width="12.44140625" style="10" customWidth="1"/>
    <col min="12286" max="12525" width="12.44140625" style="10"/>
    <col min="12526" max="12526" width="4.6640625" style="10" customWidth="1"/>
    <col min="12527" max="12527" width="4.5546875" style="10" customWidth="1"/>
    <col min="12528" max="12528" width="4.44140625" style="10" customWidth="1"/>
    <col min="12529" max="12529" width="4" style="10" customWidth="1"/>
    <col min="12530" max="12530" width="2.44140625" style="10" customWidth="1"/>
    <col min="12531" max="12531" width="46.109375" style="10" customWidth="1"/>
    <col min="12532" max="12533" width="12.5546875" style="10" customWidth="1"/>
    <col min="12534" max="12534" width="11.109375" style="10" customWidth="1"/>
    <col min="12535" max="12535" width="12.109375" style="10" customWidth="1"/>
    <col min="12536" max="12536" width="2.88671875" style="10" customWidth="1"/>
    <col min="12537" max="12537" width="12.5546875" style="10" customWidth="1"/>
    <col min="12538" max="12538" width="12.44140625" style="10" customWidth="1"/>
    <col min="12539" max="12539" width="11.109375" style="10" customWidth="1"/>
    <col min="12540" max="12540" width="12.88671875" style="10" customWidth="1"/>
    <col min="12541" max="12541" width="12.44140625" style="10" customWidth="1"/>
    <col min="12542" max="12781" width="12.44140625" style="10"/>
    <col min="12782" max="12782" width="4.6640625" style="10" customWidth="1"/>
    <col min="12783" max="12783" width="4.5546875" style="10" customWidth="1"/>
    <col min="12784" max="12784" width="4.44140625" style="10" customWidth="1"/>
    <col min="12785" max="12785" width="4" style="10" customWidth="1"/>
    <col min="12786" max="12786" width="2.44140625" style="10" customWidth="1"/>
    <col min="12787" max="12787" width="46.109375" style="10" customWidth="1"/>
    <col min="12788" max="12789" width="12.5546875" style="10" customWidth="1"/>
    <col min="12790" max="12790" width="11.109375" style="10" customWidth="1"/>
    <col min="12791" max="12791" width="12.109375" style="10" customWidth="1"/>
    <col min="12792" max="12792" width="2.88671875" style="10" customWidth="1"/>
    <col min="12793" max="12793" width="12.5546875" style="10" customWidth="1"/>
    <col min="12794" max="12794" width="12.44140625" style="10" customWidth="1"/>
    <col min="12795" max="12795" width="11.109375" style="10" customWidth="1"/>
    <col min="12796" max="12796" width="12.88671875" style="10" customWidth="1"/>
    <col min="12797" max="12797" width="12.44140625" style="10" customWidth="1"/>
    <col min="12798" max="13037" width="12.44140625" style="10"/>
    <col min="13038" max="13038" width="4.6640625" style="10" customWidth="1"/>
    <col min="13039" max="13039" width="4.5546875" style="10" customWidth="1"/>
    <col min="13040" max="13040" width="4.44140625" style="10" customWidth="1"/>
    <col min="13041" max="13041" width="4" style="10" customWidth="1"/>
    <col min="13042" max="13042" width="2.44140625" style="10" customWidth="1"/>
    <col min="13043" max="13043" width="46.109375" style="10" customWidth="1"/>
    <col min="13044" max="13045" width="12.5546875" style="10" customWidth="1"/>
    <col min="13046" max="13046" width="11.109375" style="10" customWidth="1"/>
    <col min="13047" max="13047" width="12.109375" style="10" customWidth="1"/>
    <col min="13048" max="13048" width="2.88671875" style="10" customWidth="1"/>
    <col min="13049" max="13049" width="12.5546875" style="10" customWidth="1"/>
    <col min="13050" max="13050" width="12.44140625" style="10" customWidth="1"/>
    <col min="13051" max="13051" width="11.109375" style="10" customWidth="1"/>
    <col min="13052" max="13052" width="12.88671875" style="10" customWidth="1"/>
    <col min="13053" max="13053" width="12.44140625" style="10" customWidth="1"/>
    <col min="13054" max="13293" width="12.44140625" style="10"/>
    <col min="13294" max="13294" width="4.6640625" style="10" customWidth="1"/>
    <col min="13295" max="13295" width="4.5546875" style="10" customWidth="1"/>
    <col min="13296" max="13296" width="4.44140625" style="10" customWidth="1"/>
    <col min="13297" max="13297" width="4" style="10" customWidth="1"/>
    <col min="13298" max="13298" width="2.44140625" style="10" customWidth="1"/>
    <col min="13299" max="13299" width="46.109375" style="10" customWidth="1"/>
    <col min="13300" max="13301" width="12.5546875" style="10" customWidth="1"/>
    <col min="13302" max="13302" width="11.109375" style="10" customWidth="1"/>
    <col min="13303" max="13303" width="12.109375" style="10" customWidth="1"/>
    <col min="13304" max="13304" width="2.88671875" style="10" customWidth="1"/>
    <col min="13305" max="13305" width="12.5546875" style="10" customWidth="1"/>
    <col min="13306" max="13306" width="12.44140625" style="10" customWidth="1"/>
    <col min="13307" max="13307" width="11.109375" style="10" customWidth="1"/>
    <col min="13308" max="13308" width="12.88671875" style="10" customWidth="1"/>
    <col min="13309" max="13309" width="12.44140625" style="10" customWidth="1"/>
    <col min="13310" max="13549" width="12.44140625" style="10"/>
    <col min="13550" max="13550" width="4.6640625" style="10" customWidth="1"/>
    <col min="13551" max="13551" width="4.5546875" style="10" customWidth="1"/>
    <col min="13552" max="13552" width="4.44140625" style="10" customWidth="1"/>
    <col min="13553" max="13553" width="4" style="10" customWidth="1"/>
    <col min="13554" max="13554" width="2.44140625" style="10" customWidth="1"/>
    <col min="13555" max="13555" width="46.109375" style="10" customWidth="1"/>
    <col min="13556" max="13557" width="12.5546875" style="10" customWidth="1"/>
    <col min="13558" max="13558" width="11.109375" style="10" customWidth="1"/>
    <col min="13559" max="13559" width="12.109375" style="10" customWidth="1"/>
    <col min="13560" max="13560" width="2.88671875" style="10" customWidth="1"/>
    <col min="13561" max="13561" width="12.5546875" style="10" customWidth="1"/>
    <col min="13562" max="13562" width="12.44140625" style="10" customWidth="1"/>
    <col min="13563" max="13563" width="11.109375" style="10" customWidth="1"/>
    <col min="13564" max="13564" width="12.88671875" style="10" customWidth="1"/>
    <col min="13565" max="13565" width="12.44140625" style="10" customWidth="1"/>
    <col min="13566" max="13805" width="12.44140625" style="10"/>
    <col min="13806" max="13806" width="4.6640625" style="10" customWidth="1"/>
    <col min="13807" max="13807" width="4.5546875" style="10" customWidth="1"/>
    <col min="13808" max="13808" width="4.44140625" style="10" customWidth="1"/>
    <col min="13809" max="13809" width="4" style="10" customWidth="1"/>
    <col min="13810" max="13810" width="2.44140625" style="10" customWidth="1"/>
    <col min="13811" max="13811" width="46.109375" style="10" customWidth="1"/>
    <col min="13812" max="13813" width="12.5546875" style="10" customWidth="1"/>
    <col min="13814" max="13814" width="11.109375" style="10" customWidth="1"/>
    <col min="13815" max="13815" width="12.109375" style="10" customWidth="1"/>
    <col min="13816" max="13816" width="2.88671875" style="10" customWidth="1"/>
    <col min="13817" max="13817" width="12.5546875" style="10" customWidth="1"/>
    <col min="13818" max="13818" width="12.44140625" style="10" customWidth="1"/>
    <col min="13819" max="13819" width="11.109375" style="10" customWidth="1"/>
    <col min="13820" max="13820" width="12.88671875" style="10" customWidth="1"/>
    <col min="13821" max="13821" width="12.44140625" style="10" customWidth="1"/>
    <col min="13822" max="14061" width="12.44140625" style="10"/>
    <col min="14062" max="14062" width="4.6640625" style="10" customWidth="1"/>
    <col min="14063" max="14063" width="4.5546875" style="10" customWidth="1"/>
    <col min="14064" max="14064" width="4.44140625" style="10" customWidth="1"/>
    <col min="14065" max="14065" width="4" style="10" customWidth="1"/>
    <col min="14066" max="14066" width="2.44140625" style="10" customWidth="1"/>
    <col min="14067" max="14067" width="46.109375" style="10" customWidth="1"/>
    <col min="14068" max="14069" width="12.5546875" style="10" customWidth="1"/>
    <col min="14070" max="14070" width="11.109375" style="10" customWidth="1"/>
    <col min="14071" max="14071" width="12.109375" style="10" customWidth="1"/>
    <col min="14072" max="14072" width="2.88671875" style="10" customWidth="1"/>
    <col min="14073" max="14073" width="12.5546875" style="10" customWidth="1"/>
    <col min="14074" max="14074" width="12.44140625" style="10" customWidth="1"/>
    <col min="14075" max="14075" width="11.109375" style="10" customWidth="1"/>
    <col min="14076" max="14076" width="12.88671875" style="10" customWidth="1"/>
    <col min="14077" max="14077" width="12.44140625" style="10" customWidth="1"/>
    <col min="14078" max="14317" width="12.44140625" style="10"/>
    <col min="14318" max="14318" width="4.6640625" style="10" customWidth="1"/>
    <col min="14319" max="14319" width="4.5546875" style="10" customWidth="1"/>
    <col min="14320" max="14320" width="4.44140625" style="10" customWidth="1"/>
    <col min="14321" max="14321" width="4" style="10" customWidth="1"/>
    <col min="14322" max="14322" width="2.44140625" style="10" customWidth="1"/>
    <col min="14323" max="14323" width="46.109375" style="10" customWidth="1"/>
    <col min="14324" max="14325" width="12.5546875" style="10" customWidth="1"/>
    <col min="14326" max="14326" width="11.109375" style="10" customWidth="1"/>
    <col min="14327" max="14327" width="12.109375" style="10" customWidth="1"/>
    <col min="14328" max="14328" width="2.88671875" style="10" customWidth="1"/>
    <col min="14329" max="14329" width="12.5546875" style="10" customWidth="1"/>
    <col min="14330" max="14330" width="12.44140625" style="10" customWidth="1"/>
    <col min="14331" max="14331" width="11.109375" style="10" customWidth="1"/>
    <col min="14332" max="14332" width="12.88671875" style="10" customWidth="1"/>
    <col min="14333" max="14333" width="12.44140625" style="10" customWidth="1"/>
    <col min="14334" max="14573" width="12.44140625" style="10"/>
    <col min="14574" max="14574" width="4.6640625" style="10" customWidth="1"/>
    <col min="14575" max="14575" width="4.5546875" style="10" customWidth="1"/>
    <col min="14576" max="14576" width="4.44140625" style="10" customWidth="1"/>
    <col min="14577" max="14577" width="4" style="10" customWidth="1"/>
    <col min="14578" max="14578" width="2.44140625" style="10" customWidth="1"/>
    <col min="14579" max="14579" width="46.109375" style="10" customWidth="1"/>
    <col min="14580" max="14581" width="12.5546875" style="10" customWidth="1"/>
    <col min="14582" max="14582" width="11.109375" style="10" customWidth="1"/>
    <col min="14583" max="14583" width="12.109375" style="10" customWidth="1"/>
    <col min="14584" max="14584" width="2.88671875" style="10" customWidth="1"/>
    <col min="14585" max="14585" width="12.5546875" style="10" customWidth="1"/>
    <col min="14586" max="14586" width="12.44140625" style="10" customWidth="1"/>
    <col min="14587" max="14587" width="11.109375" style="10" customWidth="1"/>
    <col min="14588" max="14588" width="12.88671875" style="10" customWidth="1"/>
    <col min="14589" max="14589" width="12.44140625" style="10" customWidth="1"/>
    <col min="14590" max="14829" width="12.44140625" style="10"/>
    <col min="14830" max="14830" width="4.6640625" style="10" customWidth="1"/>
    <col min="14831" max="14831" width="4.5546875" style="10" customWidth="1"/>
    <col min="14832" max="14832" width="4.44140625" style="10" customWidth="1"/>
    <col min="14833" max="14833" width="4" style="10" customWidth="1"/>
    <col min="14834" max="14834" width="2.44140625" style="10" customWidth="1"/>
    <col min="14835" max="14835" width="46.109375" style="10" customWidth="1"/>
    <col min="14836" max="14837" width="12.5546875" style="10" customWidth="1"/>
    <col min="14838" max="14838" width="11.109375" style="10" customWidth="1"/>
    <col min="14839" max="14839" width="12.109375" style="10" customWidth="1"/>
    <col min="14840" max="14840" width="2.88671875" style="10" customWidth="1"/>
    <col min="14841" max="14841" width="12.5546875" style="10" customWidth="1"/>
    <col min="14842" max="14842" width="12.44140625" style="10" customWidth="1"/>
    <col min="14843" max="14843" width="11.109375" style="10" customWidth="1"/>
    <col min="14844" max="14844" width="12.88671875" style="10" customWidth="1"/>
    <col min="14845" max="14845" width="12.44140625" style="10" customWidth="1"/>
    <col min="14846" max="15085" width="12.44140625" style="10"/>
    <col min="15086" max="15086" width="4.6640625" style="10" customWidth="1"/>
    <col min="15087" max="15087" width="4.5546875" style="10" customWidth="1"/>
    <col min="15088" max="15088" width="4.44140625" style="10" customWidth="1"/>
    <col min="15089" max="15089" width="4" style="10" customWidth="1"/>
    <col min="15090" max="15090" width="2.44140625" style="10" customWidth="1"/>
    <col min="15091" max="15091" width="46.109375" style="10" customWidth="1"/>
    <col min="15092" max="15093" width="12.5546875" style="10" customWidth="1"/>
    <col min="15094" max="15094" width="11.109375" style="10" customWidth="1"/>
    <col min="15095" max="15095" width="12.109375" style="10" customWidth="1"/>
    <col min="15096" max="15096" width="2.88671875" style="10" customWidth="1"/>
    <col min="15097" max="15097" width="12.5546875" style="10" customWidth="1"/>
    <col min="15098" max="15098" width="12.44140625" style="10" customWidth="1"/>
    <col min="15099" max="15099" width="11.109375" style="10" customWidth="1"/>
    <col min="15100" max="15100" width="12.88671875" style="10" customWidth="1"/>
    <col min="15101" max="15101" width="12.44140625" style="10" customWidth="1"/>
    <col min="15102" max="15341" width="12.44140625" style="10"/>
    <col min="15342" max="15342" width="4.6640625" style="10" customWidth="1"/>
    <col min="15343" max="15343" width="4.5546875" style="10" customWidth="1"/>
    <col min="15344" max="15344" width="4.44140625" style="10" customWidth="1"/>
    <col min="15345" max="15345" width="4" style="10" customWidth="1"/>
    <col min="15346" max="15346" width="2.44140625" style="10" customWidth="1"/>
    <col min="15347" max="15347" width="46.109375" style="10" customWidth="1"/>
    <col min="15348" max="15349" width="12.5546875" style="10" customWidth="1"/>
    <col min="15350" max="15350" width="11.109375" style="10" customWidth="1"/>
    <col min="15351" max="15351" width="12.109375" style="10" customWidth="1"/>
    <col min="15352" max="15352" width="2.88671875" style="10" customWidth="1"/>
    <col min="15353" max="15353" width="12.5546875" style="10" customWidth="1"/>
    <col min="15354" max="15354" width="12.44140625" style="10" customWidth="1"/>
    <col min="15355" max="15355" width="11.109375" style="10" customWidth="1"/>
    <col min="15356" max="15356" width="12.88671875" style="10" customWidth="1"/>
    <col min="15357" max="15357" width="12.44140625" style="10" customWidth="1"/>
    <col min="15358" max="15597" width="12.44140625" style="10"/>
    <col min="15598" max="15598" width="4.6640625" style="10" customWidth="1"/>
    <col min="15599" max="15599" width="4.5546875" style="10" customWidth="1"/>
    <col min="15600" max="15600" width="4.44140625" style="10" customWidth="1"/>
    <col min="15601" max="15601" width="4" style="10" customWidth="1"/>
    <col min="15602" max="15602" width="2.44140625" style="10" customWidth="1"/>
    <col min="15603" max="15603" width="46.109375" style="10" customWidth="1"/>
    <col min="15604" max="15605" width="12.5546875" style="10" customWidth="1"/>
    <col min="15606" max="15606" width="11.109375" style="10" customWidth="1"/>
    <col min="15607" max="15607" width="12.109375" style="10" customWidth="1"/>
    <col min="15608" max="15608" width="2.88671875" style="10" customWidth="1"/>
    <col min="15609" max="15609" width="12.5546875" style="10" customWidth="1"/>
    <col min="15610" max="15610" width="12.44140625" style="10" customWidth="1"/>
    <col min="15611" max="15611" width="11.109375" style="10" customWidth="1"/>
    <col min="15612" max="15612" width="12.88671875" style="10" customWidth="1"/>
    <col min="15613" max="15613" width="12.44140625" style="10" customWidth="1"/>
    <col min="15614" max="15853" width="12.44140625" style="10"/>
    <col min="15854" max="15854" width="4.6640625" style="10" customWidth="1"/>
    <col min="15855" max="15855" width="4.5546875" style="10" customWidth="1"/>
    <col min="15856" max="15856" width="4.44140625" style="10" customWidth="1"/>
    <col min="15857" max="15857" width="4" style="10" customWidth="1"/>
    <col min="15858" max="15858" width="2.44140625" style="10" customWidth="1"/>
    <col min="15859" max="15859" width="46.109375" style="10" customWidth="1"/>
    <col min="15860" max="15861" width="12.5546875" style="10" customWidth="1"/>
    <col min="15862" max="15862" width="11.109375" style="10" customWidth="1"/>
    <col min="15863" max="15863" width="12.109375" style="10" customWidth="1"/>
    <col min="15864" max="15864" width="2.88671875" style="10" customWidth="1"/>
    <col min="15865" max="15865" width="12.5546875" style="10" customWidth="1"/>
    <col min="15866" max="15866" width="12.44140625" style="10" customWidth="1"/>
    <col min="15867" max="15867" width="11.109375" style="10" customWidth="1"/>
    <col min="15868" max="15868" width="12.88671875" style="10" customWidth="1"/>
    <col min="15869" max="15869" width="12.44140625" style="10" customWidth="1"/>
    <col min="15870" max="16109" width="12.44140625" style="10"/>
    <col min="16110" max="16110" width="4.6640625" style="10" customWidth="1"/>
    <col min="16111" max="16111" width="4.5546875" style="10" customWidth="1"/>
    <col min="16112" max="16112" width="4.44140625" style="10" customWidth="1"/>
    <col min="16113" max="16113" width="4" style="10" customWidth="1"/>
    <col min="16114" max="16114" width="2.44140625" style="10" customWidth="1"/>
    <col min="16115" max="16115" width="46.109375" style="10" customWidth="1"/>
    <col min="16116" max="16117" width="12.5546875" style="10" customWidth="1"/>
    <col min="16118" max="16118" width="11.109375" style="10" customWidth="1"/>
    <col min="16119" max="16119" width="12.109375" style="10" customWidth="1"/>
    <col min="16120" max="16120" width="2.88671875" style="10" customWidth="1"/>
    <col min="16121" max="16121" width="12.5546875" style="10" customWidth="1"/>
    <col min="16122" max="16122" width="12.44140625" style="10" customWidth="1"/>
    <col min="16123" max="16123" width="11.109375" style="10" customWidth="1"/>
    <col min="16124" max="16124" width="12.88671875" style="10" customWidth="1"/>
    <col min="16125" max="16125" width="12.44140625" style="10" customWidth="1"/>
    <col min="16126" max="16384" width="12.44140625" style="10"/>
  </cols>
  <sheetData>
    <row r="1" spans="2:11">
      <c r="B1" s="253"/>
      <c r="C1" s="253"/>
      <c r="D1" s="253"/>
      <c r="E1" s="253"/>
      <c r="F1" s="253"/>
      <c r="G1" s="253"/>
      <c r="H1" s="253"/>
      <c r="I1" s="253"/>
      <c r="J1" s="253"/>
      <c r="K1" s="253"/>
    </row>
    <row r="2" spans="2:11">
      <c r="B2" s="11"/>
      <c r="C2" s="11"/>
      <c r="D2" s="11"/>
      <c r="E2" s="11"/>
      <c r="F2" s="11"/>
      <c r="G2" s="11"/>
      <c r="H2" s="71"/>
      <c r="I2" s="11"/>
      <c r="J2" s="11"/>
      <c r="K2" s="11"/>
    </row>
    <row r="3" spans="2:11" ht="15" customHeight="1">
      <c r="G3" s="254" t="s">
        <v>44</v>
      </c>
      <c r="H3" s="254"/>
      <c r="I3" s="254" t="s">
        <v>45</v>
      </c>
      <c r="J3" s="254"/>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4.4">
      <c r="B7" s="23"/>
      <c r="C7" s="23" t="s">
        <v>1</v>
      </c>
      <c r="D7" s="23"/>
      <c r="E7" s="23"/>
      <c r="F7" s="23"/>
      <c r="G7" s="24" t="e">
        <f>+#REF!</f>
        <v>#REF!</v>
      </c>
      <c r="H7" s="24">
        <v>352745.9</v>
      </c>
      <c r="I7" s="25" t="e">
        <f t="shared" si="0"/>
        <v>#REF!</v>
      </c>
      <c r="J7" s="24" t="e">
        <f t="shared" si="1"/>
        <v>#REF!</v>
      </c>
      <c r="K7" s="26"/>
    </row>
    <row r="8" spans="2:11" s="28" customFormat="1" ht="13.8">
      <c r="D8" s="28" t="s">
        <v>2</v>
      </c>
      <c r="G8" s="29" t="e">
        <f>+#REF!</f>
        <v>#REF!</v>
      </c>
      <c r="H8" s="29">
        <v>69965.399999999994</v>
      </c>
      <c r="I8" s="30" t="e">
        <f t="shared" si="0"/>
        <v>#REF!</v>
      </c>
      <c r="J8" s="29" t="e">
        <f t="shared" si="1"/>
        <v>#REF!</v>
      </c>
      <c r="K8" s="31"/>
    </row>
    <row r="9" spans="2:11" s="28" customFormat="1" ht="13.8">
      <c r="D9" s="28" t="s">
        <v>3</v>
      </c>
      <c r="G9" s="29" t="e">
        <f>+#REF!</f>
        <v>#REF!</v>
      </c>
      <c r="H9" s="29">
        <v>29043.899999999998</v>
      </c>
      <c r="I9" s="30" t="e">
        <f t="shared" si="0"/>
        <v>#REF!</v>
      </c>
      <c r="J9" s="29" t="e">
        <f t="shared" si="1"/>
        <v>#REF!</v>
      </c>
      <c r="K9" s="31"/>
    </row>
    <row r="10" spans="2:11" s="28" customFormat="1" ht="13.8">
      <c r="D10" s="28" t="s">
        <v>52</v>
      </c>
      <c r="G10" s="29" t="e">
        <f>+#REF!</f>
        <v>#REF!</v>
      </c>
      <c r="H10" s="29">
        <v>153481.30000000002</v>
      </c>
      <c r="I10" s="30" t="e">
        <f t="shared" si="0"/>
        <v>#REF!</v>
      </c>
      <c r="J10" s="29" t="e">
        <f t="shared" si="1"/>
        <v>#REF!</v>
      </c>
      <c r="K10" s="31"/>
    </row>
    <row r="11" spans="2:11" s="28" customFormat="1" ht="13.8">
      <c r="D11" s="28" t="s">
        <v>4</v>
      </c>
      <c r="G11" s="29" t="e">
        <f>+#REF!</f>
        <v>#REF!</v>
      </c>
      <c r="H11" s="29">
        <v>35360.6</v>
      </c>
      <c r="I11" s="30" t="e">
        <f t="shared" si="0"/>
        <v>#REF!</v>
      </c>
      <c r="J11" s="29" t="e">
        <f t="shared" si="1"/>
        <v>#REF!</v>
      </c>
      <c r="K11" s="31"/>
    </row>
    <row r="12" spans="2:11" s="28" customFormat="1" ht="13.8">
      <c r="D12" s="28" t="s">
        <v>5</v>
      </c>
      <c r="G12" s="29" t="e">
        <f>+#REF!</f>
        <v>#REF!</v>
      </c>
      <c r="H12" s="29">
        <v>342.5</v>
      </c>
      <c r="I12" s="30" t="e">
        <f t="shared" si="0"/>
        <v>#REF!</v>
      </c>
      <c r="J12" s="29" t="e">
        <f t="shared" si="1"/>
        <v>#REF!</v>
      </c>
      <c r="K12" s="31"/>
    </row>
    <row r="13" spans="2:11" s="28" customFormat="1" ht="13.8">
      <c r="D13" s="28" t="s">
        <v>6</v>
      </c>
      <c r="G13" s="29" t="e">
        <f>+#REF!</f>
        <v>#REF!</v>
      </c>
      <c r="H13" s="29">
        <v>4422.6000000000004</v>
      </c>
      <c r="I13" s="30" t="e">
        <f t="shared" si="0"/>
        <v>#REF!</v>
      </c>
      <c r="J13" s="29" t="e">
        <f t="shared" si="1"/>
        <v>#REF!</v>
      </c>
      <c r="K13" s="31"/>
    </row>
    <row r="14" spans="2:11" s="28" customFormat="1" ht="13.8">
      <c r="D14" s="28" t="s">
        <v>94</v>
      </c>
      <c r="G14" s="29" t="e">
        <f>+#REF!</f>
        <v>#REF!</v>
      </c>
      <c r="H14" s="29">
        <v>2578.9</v>
      </c>
      <c r="I14" s="30" t="e">
        <f t="shared" si="0"/>
        <v>#REF!</v>
      </c>
      <c r="J14" s="29" t="e">
        <f t="shared" si="1"/>
        <v>#REF!</v>
      </c>
      <c r="K14" s="31"/>
    </row>
    <row r="15" spans="2:11" s="28" customFormat="1" ht="13.8">
      <c r="D15" s="28" t="s">
        <v>7</v>
      </c>
      <c r="G15" s="29" t="e">
        <f>+#REF!</f>
        <v>#REF!</v>
      </c>
      <c r="H15" s="29">
        <v>23502.400000000001</v>
      </c>
      <c r="I15" s="30" t="e">
        <f t="shared" si="0"/>
        <v>#REF!</v>
      </c>
      <c r="J15" s="29" t="e">
        <f t="shared" si="1"/>
        <v>#REF!</v>
      </c>
      <c r="K15" s="31"/>
    </row>
    <row r="16" spans="2:11" s="28" customFormat="1" ht="13.8">
      <c r="D16" s="28" t="s">
        <v>8</v>
      </c>
      <c r="G16" s="29" t="e">
        <f>+#REF!</f>
        <v>#REF!</v>
      </c>
      <c r="H16" s="29">
        <v>13368.7</v>
      </c>
      <c r="I16" s="30" t="e">
        <f t="shared" si="0"/>
        <v>#REF!</v>
      </c>
      <c r="J16" s="29" t="e">
        <f t="shared" si="1"/>
        <v>#REF!</v>
      </c>
      <c r="K16" s="31"/>
    </row>
    <row r="17" spans="2:11" s="28" customFormat="1" ht="13.8">
      <c r="D17" s="28" t="s">
        <v>9</v>
      </c>
      <c r="G17" s="29" t="e">
        <f>+#REF!</f>
        <v>#REF!</v>
      </c>
      <c r="H17" s="29">
        <v>20679.600000000002</v>
      </c>
      <c r="I17" s="30" t="e">
        <f t="shared" si="0"/>
        <v>#REF!</v>
      </c>
      <c r="J17" s="29" t="e">
        <f t="shared" si="1"/>
        <v>#REF!</v>
      </c>
      <c r="K17" s="31"/>
    </row>
    <row r="18" spans="2:11" s="12" customFormat="1" ht="14.4">
      <c r="B18" s="23"/>
      <c r="C18" s="23" t="s">
        <v>108</v>
      </c>
      <c r="D18" s="23"/>
      <c r="E18" s="23"/>
      <c r="F18" s="23"/>
      <c r="G18" s="24" t="e">
        <f>+#REF!</f>
        <v>#REF!</v>
      </c>
      <c r="H18" s="24">
        <v>29778</v>
      </c>
      <c r="I18" s="25" t="e">
        <f t="shared" si="0"/>
        <v>#REF!</v>
      </c>
      <c r="J18" s="24" t="e">
        <f t="shared" si="1"/>
        <v>#REF!</v>
      </c>
      <c r="K18" s="26"/>
    </row>
    <row r="19" spans="2:11" s="28" customFormat="1" ht="13.8">
      <c r="D19" s="28" t="s">
        <v>111</v>
      </c>
      <c r="G19" s="29" t="e">
        <f>+#REF!</f>
        <v>#REF!</v>
      </c>
      <c r="H19" s="29">
        <v>20456.2</v>
      </c>
      <c r="I19" s="30" t="e">
        <f t="shared" si="0"/>
        <v>#REF!</v>
      </c>
      <c r="J19" s="29" t="e">
        <f t="shared" si="1"/>
        <v>#REF!</v>
      </c>
      <c r="K19" s="31"/>
    </row>
    <row r="20" spans="2:11" s="28" customFormat="1" ht="13.8">
      <c r="D20" s="28" t="s">
        <v>73</v>
      </c>
      <c r="G20" s="29" t="e">
        <f>+#REF!</f>
        <v>#REF!</v>
      </c>
      <c r="H20" s="29">
        <v>0</v>
      </c>
      <c r="I20" s="30" t="e">
        <f t="shared" si="0"/>
        <v>#REF!</v>
      </c>
      <c r="J20" s="29" t="e">
        <f t="shared" si="1"/>
        <v>#REF!</v>
      </c>
      <c r="K20" s="31"/>
    </row>
    <row r="21" spans="2:11" s="28" customFormat="1" ht="13.8">
      <c r="D21" s="28" t="s">
        <v>74</v>
      </c>
      <c r="G21" s="29" t="e">
        <f>+#REF!</f>
        <v>#REF!</v>
      </c>
      <c r="H21" s="29">
        <v>0</v>
      </c>
      <c r="I21" s="30">
        <v>0</v>
      </c>
      <c r="J21" s="29" t="e">
        <f t="shared" si="1"/>
        <v>#REF!</v>
      </c>
      <c r="K21" s="31"/>
    </row>
    <row r="22" spans="2:11" s="28" customFormat="1" ht="13.8">
      <c r="D22" s="28" t="s">
        <v>75</v>
      </c>
      <c r="G22" s="29" t="e">
        <f>+#REF!</f>
        <v>#REF!</v>
      </c>
      <c r="H22" s="29">
        <v>0</v>
      </c>
      <c r="I22" s="30">
        <v>0</v>
      </c>
      <c r="J22" s="29" t="e">
        <f t="shared" si="1"/>
        <v>#REF!</v>
      </c>
      <c r="K22" s="31"/>
    </row>
    <row r="23" spans="2:11" s="28" customFormat="1" ht="13.8">
      <c r="D23" s="28" t="s">
        <v>10</v>
      </c>
      <c r="G23" s="29" t="e">
        <f>+#REF!</f>
        <v>#REF!</v>
      </c>
      <c r="H23" s="29">
        <v>9321.7999999999993</v>
      </c>
      <c r="I23" s="30" t="e">
        <f t="shared" si="0"/>
        <v>#REF!</v>
      </c>
      <c r="J23" s="29" t="e">
        <f t="shared" si="1"/>
        <v>#REF!</v>
      </c>
      <c r="K23" s="31"/>
    </row>
    <row r="24" spans="2:11" s="27" customFormat="1" ht="14.4">
      <c r="B24" s="23"/>
      <c r="C24" s="23" t="s">
        <v>11</v>
      </c>
      <c r="D24" s="23"/>
      <c r="E24" s="23"/>
      <c r="F24" s="23"/>
      <c r="G24" s="24" t="e">
        <f>+#REF!</f>
        <v>#REF!</v>
      </c>
      <c r="H24" s="24">
        <v>12501.3</v>
      </c>
      <c r="I24" s="25" t="e">
        <f t="shared" si="0"/>
        <v>#REF!</v>
      </c>
      <c r="J24" s="24" t="e">
        <f t="shared" si="1"/>
        <v>#REF!</v>
      </c>
      <c r="K24" s="26"/>
    </row>
    <row r="25" spans="2:11" s="28" customFormat="1" ht="13.8">
      <c r="D25" s="28" t="s">
        <v>12</v>
      </c>
      <c r="G25" s="29" t="e">
        <f>+#REF!</f>
        <v>#REF!</v>
      </c>
      <c r="H25" s="29">
        <v>10196.299999999999</v>
      </c>
      <c r="I25" s="30" t="e">
        <f t="shared" si="0"/>
        <v>#REF!</v>
      </c>
      <c r="J25" s="29" t="e">
        <f t="shared" si="1"/>
        <v>#REF!</v>
      </c>
      <c r="K25" s="31"/>
    </row>
    <row r="26" spans="2:11" s="28" customFormat="1" ht="13.8">
      <c r="D26" s="28" t="s">
        <v>13</v>
      </c>
      <c r="G26" s="29" t="e">
        <f>+#REF!</f>
        <v>#REF!</v>
      </c>
      <c r="H26" s="29">
        <v>1034.4000000000001</v>
      </c>
      <c r="I26" s="30" t="e">
        <f t="shared" si="0"/>
        <v>#REF!</v>
      </c>
      <c r="J26" s="29" t="e">
        <f t="shared" si="1"/>
        <v>#REF!</v>
      </c>
      <c r="K26" s="31"/>
    </row>
    <row r="27" spans="2:11" s="28" customFormat="1" ht="13.8">
      <c r="D27" s="28" t="s">
        <v>14</v>
      </c>
      <c r="G27" s="29" t="e">
        <f>+#REF!</f>
        <v>#REF!</v>
      </c>
      <c r="H27" s="29">
        <v>1270.5999999999999</v>
      </c>
      <c r="I27" s="30" t="e">
        <f t="shared" si="0"/>
        <v>#REF!</v>
      </c>
      <c r="J27" s="29" t="e">
        <f t="shared" si="1"/>
        <v>#REF!</v>
      </c>
      <c r="K27" s="31"/>
    </row>
    <row r="28" spans="2:11" s="27" customFormat="1" ht="14.4">
      <c r="B28" s="23"/>
      <c r="C28" s="23" t="s">
        <v>15</v>
      </c>
      <c r="D28" s="23"/>
      <c r="E28" s="23"/>
      <c r="F28" s="23"/>
      <c r="G28" s="24" t="e">
        <f>+#REF!</f>
        <v>#REF!</v>
      </c>
      <c r="H28" s="24">
        <v>199.6</v>
      </c>
      <c r="I28" s="25" t="e">
        <f t="shared" si="0"/>
        <v>#REF!</v>
      </c>
      <c r="J28" s="24" t="e">
        <f t="shared" si="1"/>
        <v>#REF!</v>
      </c>
      <c r="K28" s="26"/>
    </row>
    <row r="29" spans="2:11" s="27" customFormat="1" ht="14.4">
      <c r="D29" s="28" t="s">
        <v>76</v>
      </c>
      <c r="E29" s="28"/>
      <c r="G29" s="29" t="e">
        <f>+#REF!</f>
        <v>#REF!</v>
      </c>
      <c r="H29" s="29">
        <v>0</v>
      </c>
      <c r="I29" s="30">
        <v>0</v>
      </c>
      <c r="J29" s="29" t="e">
        <f t="shared" si="1"/>
        <v>#REF!</v>
      </c>
      <c r="K29" s="31"/>
    </row>
    <row r="30" spans="2:11" s="27" customFormat="1" ht="14.4">
      <c r="D30" s="28" t="s">
        <v>77</v>
      </c>
      <c r="E30" s="28"/>
      <c r="G30" s="29" t="e">
        <f>+#REF!</f>
        <v>#REF!</v>
      </c>
      <c r="H30" s="29">
        <v>0</v>
      </c>
      <c r="I30" s="30">
        <v>0</v>
      </c>
      <c r="J30" s="29" t="e">
        <f t="shared" si="1"/>
        <v>#REF!</v>
      </c>
      <c r="K30" s="31"/>
    </row>
    <row r="31" spans="2:11" s="27" customFormat="1" ht="14.4">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4.4">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3.8">
      <c r="D36" s="28" t="s">
        <v>18</v>
      </c>
      <c r="G36" s="29" t="e">
        <f>+#REF!</f>
        <v>#REF!</v>
      </c>
      <c r="H36" s="29">
        <v>149852.9</v>
      </c>
      <c r="I36" s="30" t="e">
        <f t="shared" si="0"/>
        <v>#REF!</v>
      </c>
      <c r="J36" s="29" t="e">
        <f t="shared" si="1"/>
        <v>#REF!</v>
      </c>
      <c r="K36" s="31"/>
    </row>
    <row r="37" spans="2:19" s="3" customFormat="1" ht="17.399999999999999">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3.8">
      <c r="D38" s="28" t="s">
        <v>53</v>
      </c>
      <c r="G38" s="29" t="e">
        <f>+#REF!</f>
        <v>#REF!</v>
      </c>
      <c r="H38" s="29">
        <v>10983.3</v>
      </c>
      <c r="I38" s="30" t="e">
        <f t="shared" si="0"/>
        <v>#REF!</v>
      </c>
      <c r="J38" s="29" t="e">
        <f t="shared" si="1"/>
        <v>#REF!</v>
      </c>
      <c r="K38" s="31"/>
    </row>
    <row r="39" spans="2:19" s="28" customFormat="1" ht="13.8">
      <c r="D39" s="28" t="s">
        <v>54</v>
      </c>
      <c r="G39" s="29" t="e">
        <f>+#REF!</f>
        <v>#REF!</v>
      </c>
      <c r="H39" s="29">
        <v>12569.9</v>
      </c>
      <c r="I39" s="30" t="e">
        <f t="shared" si="0"/>
        <v>#REF!</v>
      </c>
      <c r="J39" s="29" t="e">
        <f t="shared" si="1"/>
        <v>#REF!</v>
      </c>
      <c r="K39" s="31"/>
    </row>
    <row r="40" spans="2:19" s="28" customFormat="1" ht="13.8">
      <c r="D40" s="28" t="s">
        <v>19</v>
      </c>
      <c r="G40" s="29" t="e">
        <f>+#REF!</f>
        <v>#REF!</v>
      </c>
      <c r="H40" s="29">
        <v>24743.4</v>
      </c>
      <c r="I40" s="30" t="e">
        <f t="shared" si="0"/>
        <v>#REF!</v>
      </c>
      <c r="J40" s="29" t="e">
        <f t="shared" si="1"/>
        <v>#REF!</v>
      </c>
      <c r="K40" s="31"/>
    </row>
    <row r="41" spans="2:19" s="28" customFormat="1" ht="13.8">
      <c r="D41" s="28" t="s">
        <v>42</v>
      </c>
      <c r="G41" s="29" t="e">
        <f>+#REF!</f>
        <v>#REF!</v>
      </c>
      <c r="H41" s="29">
        <v>16108.4</v>
      </c>
      <c r="I41" s="30" t="e">
        <f t="shared" si="0"/>
        <v>#REF!</v>
      </c>
      <c r="J41" s="29" t="e">
        <f t="shared" si="1"/>
        <v>#REF!</v>
      </c>
      <c r="K41" s="31"/>
    </row>
    <row r="42" spans="2:19" s="28" customFormat="1" ht="13.8">
      <c r="D42" s="28" t="s">
        <v>80</v>
      </c>
      <c r="G42" s="29" t="e">
        <f>+#REF!</f>
        <v>#REF!</v>
      </c>
      <c r="H42" s="29">
        <v>2280.3000000000002</v>
      </c>
      <c r="I42" s="30" t="e">
        <f t="shared" si="0"/>
        <v>#REF!</v>
      </c>
      <c r="J42" s="29" t="e">
        <f t="shared" si="1"/>
        <v>#REF!</v>
      </c>
      <c r="K42" s="31"/>
    </row>
    <row r="43" spans="2:19" s="28" customFormat="1" ht="13.8">
      <c r="D43" s="28" t="s">
        <v>81</v>
      </c>
      <c r="G43" s="29" t="e">
        <f>+#REF!</f>
        <v>#REF!</v>
      </c>
      <c r="H43" s="29">
        <v>1525.7</v>
      </c>
      <c r="I43" s="30" t="s">
        <v>112</v>
      </c>
      <c r="J43" s="29" t="e">
        <f t="shared" si="1"/>
        <v>#REF!</v>
      </c>
      <c r="K43" s="31"/>
    </row>
    <row r="44" spans="2:19" s="28" customFormat="1" ht="13.8">
      <c r="D44" s="28" t="s">
        <v>82</v>
      </c>
      <c r="G44" s="29" t="e">
        <f>+#REF!</f>
        <v>#REF!</v>
      </c>
      <c r="H44" s="29">
        <v>2143.6999999999998</v>
      </c>
      <c r="I44" s="30" t="e">
        <f t="shared" si="0"/>
        <v>#REF!</v>
      </c>
      <c r="J44" s="29" t="e">
        <f t="shared" si="1"/>
        <v>#REF!</v>
      </c>
      <c r="K44" s="31"/>
    </row>
    <row r="45" spans="2:19" s="28" customFormat="1" ht="13.8">
      <c r="D45" s="119" t="s">
        <v>107</v>
      </c>
      <c r="G45" s="29" t="e">
        <f>+#REF!</f>
        <v>#REF!</v>
      </c>
      <c r="H45" s="29">
        <v>1133.8</v>
      </c>
      <c r="I45" s="30" t="e">
        <f t="shared" si="0"/>
        <v>#REF!</v>
      </c>
      <c r="J45" s="29" t="e">
        <f t="shared" si="1"/>
        <v>#REF!</v>
      </c>
      <c r="K45" s="31"/>
    </row>
    <row r="46" spans="2:19" s="28" customFormat="1" ht="13.8">
      <c r="D46" s="28" t="s">
        <v>110</v>
      </c>
      <c r="G46" s="29" t="e">
        <f>+#REF!</f>
        <v>#REF!</v>
      </c>
      <c r="H46" s="29">
        <v>17065</v>
      </c>
      <c r="I46" s="30" t="e">
        <f t="shared" si="0"/>
        <v>#REF!</v>
      </c>
      <c r="J46" s="29" t="e">
        <f t="shared" si="1"/>
        <v>#REF!</v>
      </c>
      <c r="K46" s="31"/>
    </row>
    <row r="47" spans="2:19" s="28" customFormat="1" ht="13.8">
      <c r="D47" s="28" t="s">
        <v>20</v>
      </c>
      <c r="G47" s="29" t="e">
        <f>+#REF!</f>
        <v>#REF!</v>
      </c>
      <c r="H47" s="29">
        <v>1347.2</v>
      </c>
      <c r="I47" s="30" t="e">
        <f t="shared" si="0"/>
        <v>#REF!</v>
      </c>
      <c r="J47" s="29" t="e">
        <f t="shared" si="1"/>
        <v>#REF!</v>
      </c>
      <c r="K47" s="31"/>
    </row>
    <row r="48" spans="2:19" s="28" customFormat="1" ht="13.8">
      <c r="D48" s="28" t="s">
        <v>84</v>
      </c>
      <c r="G48" s="29" t="e">
        <f>+#REF!</f>
        <v>#REF!</v>
      </c>
      <c r="H48" s="29">
        <v>814.5</v>
      </c>
      <c r="I48" s="30" t="e">
        <f t="shared" si="0"/>
        <v>#REF!</v>
      </c>
      <c r="J48" s="29" t="e">
        <f t="shared" si="1"/>
        <v>#REF!</v>
      </c>
      <c r="K48" s="31"/>
    </row>
    <row r="49" spans="3:11" s="28" customFormat="1" ht="13.8">
      <c r="D49" s="28" t="s">
        <v>85</v>
      </c>
      <c r="G49" s="29" t="e">
        <f>+#REF!</f>
        <v>#REF!</v>
      </c>
      <c r="H49" s="29">
        <v>3714.2</v>
      </c>
      <c r="I49" s="30" t="e">
        <f t="shared" si="0"/>
        <v>#REF!</v>
      </c>
      <c r="J49" s="29" t="e">
        <f t="shared" si="1"/>
        <v>#REF!</v>
      </c>
      <c r="K49" s="31"/>
    </row>
    <row r="50" spans="3:11" s="28" customFormat="1" ht="13.8">
      <c r="D50" s="28" t="s">
        <v>86</v>
      </c>
      <c r="G50" s="29" t="e">
        <f>+#REF!</f>
        <v>#REF!</v>
      </c>
      <c r="H50" s="29">
        <v>694</v>
      </c>
      <c r="I50" s="30" t="e">
        <f t="shared" si="0"/>
        <v>#REF!</v>
      </c>
      <c r="J50" s="29" t="e">
        <f t="shared" si="1"/>
        <v>#REF!</v>
      </c>
      <c r="K50" s="31"/>
    </row>
    <row r="51" spans="3:11" s="28" customFormat="1" ht="13.8">
      <c r="D51" s="28" t="s">
        <v>87</v>
      </c>
      <c r="G51" s="29" t="e">
        <f>+#REF!</f>
        <v>#REF!</v>
      </c>
      <c r="H51" s="29">
        <v>218.4</v>
      </c>
      <c r="I51" s="30" t="e">
        <f t="shared" si="0"/>
        <v>#REF!</v>
      </c>
      <c r="J51" s="29" t="e">
        <f t="shared" si="1"/>
        <v>#REF!</v>
      </c>
      <c r="K51" s="31"/>
    </row>
    <row r="52" spans="3:11" s="28" customFormat="1" ht="13.8">
      <c r="D52" s="28" t="s">
        <v>88</v>
      </c>
      <c r="G52" s="29" t="e">
        <f>+#REF!</f>
        <v>#REF!</v>
      </c>
      <c r="H52" s="29">
        <v>102.4</v>
      </c>
      <c r="I52" s="30" t="e">
        <f t="shared" si="0"/>
        <v>#REF!</v>
      </c>
      <c r="J52" s="29" t="e">
        <f t="shared" si="1"/>
        <v>#REF!</v>
      </c>
      <c r="K52" s="31"/>
    </row>
    <row r="53" spans="3:11" s="28" customFormat="1" ht="13.8">
      <c r="D53" s="28" t="s">
        <v>89</v>
      </c>
      <c r="G53" s="29" t="e">
        <f>+#REF!</f>
        <v>#REF!</v>
      </c>
      <c r="H53" s="29">
        <v>57.6</v>
      </c>
      <c r="I53" s="30" t="e">
        <f t="shared" si="0"/>
        <v>#REF!</v>
      </c>
      <c r="J53" s="29" t="e">
        <f t="shared" si="1"/>
        <v>#REF!</v>
      </c>
      <c r="K53" s="31"/>
    </row>
    <row r="54" spans="3:11" s="28" customFormat="1" ht="13.8">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3.8">
      <c r="D56" s="28" t="s">
        <v>22</v>
      </c>
      <c r="G56" s="29" t="e">
        <f>+#REF!</f>
        <v>#REF!</v>
      </c>
      <c r="H56" s="29">
        <v>18451</v>
      </c>
      <c r="I56" s="30" t="e">
        <f t="shared" si="0"/>
        <v>#REF!</v>
      </c>
      <c r="J56" s="29" t="e">
        <f t="shared" si="1"/>
        <v>#REF!</v>
      </c>
      <c r="K56" s="31"/>
    </row>
    <row r="57" spans="3:11" s="28" customFormat="1" ht="13.8">
      <c r="D57" s="28" t="s">
        <v>23</v>
      </c>
      <c r="G57" s="29" t="e">
        <f>+#REF!</f>
        <v>#REF!</v>
      </c>
      <c r="H57" s="29">
        <v>12336.7</v>
      </c>
      <c r="I57" s="30" t="e">
        <f t="shared" si="0"/>
        <v>#REF!</v>
      </c>
      <c r="J57" s="29" t="e">
        <f t="shared" si="1"/>
        <v>#REF!</v>
      </c>
      <c r="K57" s="31"/>
    </row>
    <row r="58" spans="3:11" s="28" customFormat="1" ht="13.8">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3.8">
      <c r="D60" s="28" t="s">
        <v>26</v>
      </c>
      <c r="G60" s="29" t="e">
        <f>+#REF!</f>
        <v>#REF!</v>
      </c>
      <c r="H60" s="29">
        <v>53073.9</v>
      </c>
      <c r="I60" s="30" t="e">
        <f t="shared" si="0"/>
        <v>#REF!</v>
      </c>
      <c r="J60" s="29" t="e">
        <f t="shared" si="1"/>
        <v>#REF!</v>
      </c>
      <c r="K60" s="31"/>
    </row>
    <row r="61" spans="3:11" s="28" customFormat="1" ht="13.8">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3.8">
      <c r="D63" s="28" t="s">
        <v>29</v>
      </c>
      <c r="G63" s="29" t="e">
        <f>+#REF!</f>
        <v>#REF!</v>
      </c>
      <c r="H63" s="29">
        <v>2342.1</v>
      </c>
      <c r="I63" s="30" t="e">
        <f t="shared" si="0"/>
        <v>#REF!</v>
      </c>
      <c r="J63" s="29" t="e">
        <f t="shared" si="1"/>
        <v>#REF!</v>
      </c>
      <c r="K63" s="31"/>
    </row>
    <row r="64" spans="3:11" s="28" customFormat="1" ht="13.8">
      <c r="D64" s="28" t="s">
        <v>30</v>
      </c>
      <c r="G64" s="29" t="e">
        <f>+#REF!</f>
        <v>#REF!</v>
      </c>
      <c r="H64" s="29">
        <v>1141.9000000000001</v>
      </c>
      <c r="I64" s="30" t="e">
        <f t="shared" si="0"/>
        <v>#REF!</v>
      </c>
      <c r="J64" s="29" t="e">
        <f t="shared" si="1"/>
        <v>#REF!</v>
      </c>
      <c r="K64" s="31"/>
    </row>
    <row r="65" spans="1:11" s="28" customFormat="1" ht="13.8">
      <c r="D65" s="28" t="s">
        <v>31</v>
      </c>
      <c r="G65" s="29" t="e">
        <f>+#REF!</f>
        <v>#REF!</v>
      </c>
      <c r="H65" s="29">
        <v>813.3</v>
      </c>
      <c r="I65" s="30" t="e">
        <f t="shared" si="0"/>
        <v>#REF!</v>
      </c>
      <c r="J65" s="29" t="e">
        <f t="shared" si="1"/>
        <v>#REF!</v>
      </c>
      <c r="K65" s="31"/>
    </row>
    <row r="66" spans="1:11" s="28" customFormat="1" ht="13.8">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4.4">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3.8">
      <c r="D72" s="28" t="s">
        <v>35</v>
      </c>
      <c r="G72" s="29" t="e">
        <f>+#REF!</f>
        <v>#REF!</v>
      </c>
      <c r="H72" s="29">
        <v>829.8</v>
      </c>
      <c r="I72" s="30" t="e">
        <f t="shared" si="2"/>
        <v>#REF!</v>
      </c>
      <c r="J72" s="29" t="e">
        <f t="shared" si="3"/>
        <v>#REF!</v>
      </c>
      <c r="K72" s="31"/>
    </row>
    <row r="73" spans="1:11" s="28" customFormat="1" ht="13.8">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3.8">
      <c r="D75" s="28" t="s">
        <v>35</v>
      </c>
      <c r="G75" s="29" t="e">
        <f>+#REF!</f>
        <v>#REF!</v>
      </c>
      <c r="H75" s="29">
        <v>2785.4</v>
      </c>
      <c r="I75" s="30" t="e">
        <f t="shared" si="2"/>
        <v>#REF!</v>
      </c>
      <c r="J75" s="29" t="e">
        <f t="shared" si="3"/>
        <v>#REF!</v>
      </c>
      <c r="K75" s="31"/>
    </row>
    <row r="76" spans="1:11" s="28" customFormat="1" ht="13.8">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3.8">
      <c r="D78" s="28" t="s">
        <v>35</v>
      </c>
      <c r="G78" s="29" t="e">
        <f>+#REF!</f>
        <v>#REF!</v>
      </c>
      <c r="H78" s="29">
        <v>119.8</v>
      </c>
      <c r="I78" s="30" t="e">
        <f t="shared" si="2"/>
        <v>#REF!</v>
      </c>
      <c r="J78" s="29" t="e">
        <f t="shared" si="3"/>
        <v>#REF!</v>
      </c>
      <c r="K78" s="31"/>
    </row>
    <row r="79" spans="1:11" s="28" customFormat="1" ht="13.8">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3.8">
      <c r="D81" s="28" t="s">
        <v>35</v>
      </c>
      <c r="G81" s="29" t="e">
        <f>+#REF!</f>
        <v>#REF!</v>
      </c>
      <c r="H81" s="29">
        <v>205.7</v>
      </c>
      <c r="I81" s="30" t="e">
        <f t="shared" si="2"/>
        <v>#REF!</v>
      </c>
      <c r="J81" s="29" t="e">
        <f t="shared" si="3"/>
        <v>#REF!</v>
      </c>
      <c r="K81" s="31"/>
    </row>
    <row r="82" spans="1:11" s="28" customFormat="1" ht="13.8">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3.8">
      <c r="D84" s="28" t="s">
        <v>35</v>
      </c>
      <c r="G84" s="29" t="e">
        <f>+#REF!</f>
        <v>#REF!</v>
      </c>
      <c r="H84" s="29">
        <v>114.4</v>
      </c>
      <c r="I84" s="30" t="e">
        <f t="shared" si="2"/>
        <v>#REF!</v>
      </c>
      <c r="J84" s="29" t="e">
        <f t="shared" si="3"/>
        <v>#REF!</v>
      </c>
      <c r="K84" s="31"/>
    </row>
    <row r="85" spans="1:11" s="28" customFormat="1" ht="13.8">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3.8">
      <c r="D87" s="28" t="s">
        <v>35</v>
      </c>
      <c r="G87" s="29" t="e">
        <f>+#REF!</f>
        <v>#REF!</v>
      </c>
      <c r="H87" s="29">
        <v>4289.3999999999996</v>
      </c>
      <c r="I87" s="30" t="e">
        <f t="shared" si="2"/>
        <v>#REF!</v>
      </c>
      <c r="J87" s="29" t="e">
        <f t="shared" si="3"/>
        <v>#REF!</v>
      </c>
      <c r="K87" s="31"/>
    </row>
    <row r="88" spans="1:11" s="28" customFormat="1" ht="13.8">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4.4">
      <c r="A92" s="27"/>
      <c r="B92" s="23"/>
      <c r="C92" s="23" t="s">
        <v>39</v>
      </c>
      <c r="D92" s="23"/>
      <c r="E92" s="23"/>
      <c r="F92" s="23"/>
      <c r="G92" s="24" t="e">
        <f>+#REF!</f>
        <v>#REF!</v>
      </c>
      <c r="H92" s="24">
        <v>87052.099999999991</v>
      </c>
      <c r="I92" s="25" t="e">
        <f t="shared" si="2"/>
        <v>#REF!</v>
      </c>
      <c r="J92" s="24" t="e">
        <f t="shared" si="3"/>
        <v>#REF!</v>
      </c>
      <c r="K92" s="26"/>
    </row>
    <row r="93" spans="1:11" s="42" customFormat="1" ht="14.4">
      <c r="A93" s="27"/>
      <c r="B93" s="27"/>
      <c r="C93" s="28" t="s">
        <v>92</v>
      </c>
      <c r="D93" s="27"/>
      <c r="E93" s="27"/>
      <c r="F93" s="27"/>
      <c r="G93" s="29" t="e">
        <f>+#REF!</f>
        <v>#REF!</v>
      </c>
      <c r="H93" s="29">
        <v>0</v>
      </c>
      <c r="I93" s="30" t="e">
        <f t="shared" si="2"/>
        <v>#REF!</v>
      </c>
      <c r="J93" s="29" t="e">
        <f t="shared" si="3"/>
        <v>#REF!</v>
      </c>
      <c r="K93" s="31"/>
    </row>
    <row r="94" spans="1:11" s="42" customFormat="1" ht="14.4">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7.399999999999999">
      <c r="B117" s="120"/>
      <c r="C117" s="121"/>
      <c r="D117" s="122"/>
      <c r="E117" s="123"/>
      <c r="F117" s="124"/>
      <c r="G117" s="125"/>
      <c r="H117" s="125"/>
      <c r="I117" s="125"/>
      <c r="J117" s="125"/>
      <c r="K117" s="67"/>
    </row>
    <row r="118" spans="2:26" s="69" customFormat="1" ht="17.399999999999999">
      <c r="B118" s="66"/>
      <c r="C118" s="51"/>
      <c r="D118" s="7"/>
      <c r="E118" s="5"/>
      <c r="F118" s="6"/>
      <c r="G118" s="56"/>
      <c r="H118" s="56"/>
      <c r="I118" s="56"/>
      <c r="J118" s="116"/>
      <c r="K118" s="89"/>
    </row>
    <row r="119" spans="2:26" s="66" customFormat="1" ht="17.399999999999999">
      <c r="C119" s="51"/>
      <c r="D119" s="7"/>
      <c r="E119" s="5"/>
      <c r="F119" s="6"/>
      <c r="G119" s="56"/>
      <c r="H119" s="56"/>
      <c r="I119" s="56"/>
      <c r="J119" s="116"/>
      <c r="K119" s="89"/>
    </row>
    <row r="120" spans="2:26" s="66" customFormat="1" ht="17.399999999999999">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7.399999999999999">
      <c r="B121" s="250"/>
      <c r="C121" s="250"/>
      <c r="D121" s="250"/>
      <c r="E121" s="250"/>
      <c r="F121" s="250"/>
      <c r="G121" s="250"/>
      <c r="H121" s="250"/>
      <c r="I121" s="250"/>
      <c r="J121" s="250"/>
      <c r="K121" s="250"/>
      <c r="L121" s="68"/>
      <c r="M121" s="68"/>
      <c r="N121" s="68"/>
      <c r="O121" s="68"/>
      <c r="P121" s="68"/>
      <c r="Q121" s="68"/>
      <c r="R121" s="68"/>
      <c r="S121" s="68"/>
      <c r="T121" s="68"/>
      <c r="U121" s="68"/>
      <c r="V121" s="68"/>
      <c r="W121" s="68"/>
      <c r="X121" s="68"/>
      <c r="Y121" s="68"/>
      <c r="Z121" s="68"/>
    </row>
    <row r="122" spans="2:26" s="69" customFormat="1" ht="17.399999999999999">
      <c r="B122" s="250"/>
      <c r="C122" s="250"/>
      <c r="D122" s="250"/>
      <c r="E122" s="250"/>
      <c r="F122" s="250"/>
      <c r="G122" s="250"/>
      <c r="H122" s="250"/>
      <c r="I122" s="250"/>
      <c r="J122" s="250"/>
      <c r="K122" s="250"/>
      <c r="L122" s="68"/>
      <c r="M122" s="68"/>
      <c r="N122" s="68"/>
      <c r="O122" s="68"/>
      <c r="P122" s="68"/>
      <c r="Q122" s="68"/>
      <c r="R122" s="68"/>
      <c r="S122" s="68"/>
      <c r="T122" s="68"/>
      <c r="U122" s="68"/>
      <c r="V122" s="68"/>
      <c r="W122" s="68"/>
      <c r="X122" s="68"/>
      <c r="Y122" s="68"/>
      <c r="Z122" s="68"/>
    </row>
    <row r="123" spans="2:26" s="69" customFormat="1" ht="17.399999999999999">
      <c r="B123" s="61"/>
      <c r="C123" s="251"/>
      <c r="D123" s="251"/>
      <c r="E123" s="251"/>
      <c r="F123" s="251"/>
      <c r="G123" s="251"/>
      <c r="H123" s="251"/>
      <c r="I123" s="251"/>
      <c r="J123" s="251"/>
      <c r="K123" s="251"/>
      <c r="L123" s="47"/>
      <c r="M123" s="51"/>
      <c r="N123" s="51"/>
      <c r="O123" s="68"/>
      <c r="P123" s="68"/>
      <c r="Q123" s="68"/>
      <c r="R123" s="68"/>
      <c r="S123" s="68"/>
      <c r="T123" s="68"/>
      <c r="U123" s="68"/>
      <c r="V123" s="68"/>
      <c r="W123" s="68"/>
      <c r="X123" s="68"/>
      <c r="Y123" s="68"/>
      <c r="Z123" s="68"/>
    </row>
    <row r="124" spans="2:26" s="69" customFormat="1" ht="17.399999999999999">
      <c r="B124" s="61"/>
      <c r="C124" s="251"/>
      <c r="D124" s="251"/>
      <c r="E124" s="251"/>
      <c r="F124" s="251"/>
      <c r="G124" s="251"/>
      <c r="H124" s="251"/>
      <c r="I124" s="251"/>
      <c r="J124" s="251"/>
      <c r="K124" s="251"/>
      <c r="L124" s="68"/>
      <c r="M124" s="68"/>
      <c r="N124" s="68"/>
      <c r="O124" s="68"/>
      <c r="P124" s="68"/>
      <c r="Q124" s="68"/>
      <c r="R124" s="68"/>
      <c r="S124" s="68"/>
      <c r="T124" s="68"/>
      <c r="U124" s="68"/>
      <c r="V124" s="68"/>
      <c r="W124" s="68"/>
      <c r="X124" s="68"/>
      <c r="Y124" s="68"/>
      <c r="Z124" s="68"/>
    </row>
    <row r="125" spans="2:26" s="69" customFormat="1" ht="17.399999999999999">
      <c r="B125" s="61"/>
      <c r="C125" s="251"/>
      <c r="D125" s="251"/>
      <c r="E125" s="251"/>
      <c r="F125" s="251"/>
      <c r="G125" s="251"/>
      <c r="H125" s="251"/>
      <c r="I125" s="251"/>
      <c r="J125" s="251"/>
      <c r="K125" s="251"/>
      <c r="L125" s="68"/>
      <c r="M125" s="68"/>
      <c r="N125" s="68"/>
      <c r="O125" s="68"/>
      <c r="P125" s="68"/>
      <c r="Q125" s="68"/>
      <c r="R125" s="68"/>
      <c r="S125" s="68"/>
      <c r="T125" s="68"/>
      <c r="U125" s="68"/>
      <c r="V125" s="68"/>
      <c r="W125" s="68"/>
      <c r="X125" s="68"/>
      <c r="Y125" s="68"/>
      <c r="Z125" s="68"/>
    </row>
    <row r="126" spans="2:26" s="69" customFormat="1" ht="17.399999999999999">
      <c r="B126" s="66"/>
      <c r="C126" s="251"/>
      <c r="D126" s="251"/>
      <c r="E126" s="251"/>
      <c r="F126" s="251"/>
      <c r="G126" s="251"/>
      <c r="H126" s="251"/>
      <c r="I126" s="251"/>
      <c r="J126" s="251"/>
      <c r="K126" s="251"/>
    </row>
    <row r="127" spans="2:26" s="69" customFormat="1" ht="17.399999999999999">
      <c r="B127" s="250"/>
      <c r="C127" s="250"/>
      <c r="D127" s="250"/>
      <c r="E127" s="250"/>
      <c r="F127" s="250"/>
      <c r="G127" s="250"/>
      <c r="H127" s="250"/>
      <c r="I127" s="250"/>
      <c r="J127" s="250"/>
      <c r="K127" s="250"/>
    </row>
    <row r="128" spans="2:26" s="69" customFormat="1" ht="17.399999999999999">
      <c r="B128" s="250"/>
      <c r="C128" s="250"/>
      <c r="D128" s="250"/>
      <c r="E128" s="250"/>
      <c r="F128" s="250"/>
      <c r="G128" s="250"/>
      <c r="H128" s="250"/>
      <c r="I128" s="250"/>
      <c r="J128" s="250"/>
      <c r="K128" s="250"/>
    </row>
    <row r="129" spans="2:11" ht="16.8">
      <c r="B129" s="118"/>
      <c r="C129" s="51"/>
      <c r="D129" s="49"/>
      <c r="E129" s="50"/>
      <c r="F129" s="47"/>
      <c r="G129" s="47"/>
      <c r="H129" s="87"/>
      <c r="I129" s="47"/>
      <c r="J129" s="47"/>
      <c r="K129" s="47"/>
    </row>
    <row r="130" spans="2:11" ht="16.8">
      <c r="B130" s="81"/>
    </row>
    <row r="131" spans="2:11" ht="16.8">
      <c r="B131" s="81"/>
    </row>
    <row r="132" spans="2:11" ht="16.8">
      <c r="B132" s="82"/>
    </row>
    <row r="133" spans="2:11" ht="16.8">
      <c r="B133" s="81"/>
    </row>
    <row r="134" spans="2:11" ht="16.8">
      <c r="B134" s="81"/>
    </row>
    <row r="135" spans="2:11" ht="16.8">
      <c r="B135" s="81"/>
    </row>
    <row r="136" spans="2:11" ht="16.8">
      <c r="B136" s="83"/>
    </row>
    <row r="137" spans="2:11" ht="16.8">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VarMensual</vt:lpstr>
      <vt:lpstr>IMIG</vt:lpstr>
      <vt:lpstr>AIF </vt:lpstr>
      <vt:lpstr>SALIDA PRENSA ENERO</vt:lpstr>
      <vt:lpstr>'AIF '!Área_de_impresión</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SH</cp:lastModifiedBy>
  <cp:lastPrinted>2023-03-17T17:40:10Z</cp:lastPrinted>
  <dcterms:created xsi:type="dcterms:W3CDTF">2017-02-01T16:55:20Z</dcterms:created>
  <dcterms:modified xsi:type="dcterms:W3CDTF">2025-09-18T16:24:45Z</dcterms:modified>
</cp:coreProperties>
</file>